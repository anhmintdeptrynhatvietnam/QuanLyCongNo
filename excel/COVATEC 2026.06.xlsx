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Y:\CÔNG NỢ KHÁCH HÀNG\LƯU TÁCH\NĂM 2026\06.2026\"/>
    </mc:Choice>
  </mc:AlternateContent>
  <xr:revisionPtr revIDLastSave="0" documentId="13_ncr:1_{9C4E724E-B78C-409A-B0BE-E027971D4B05}" xr6:coauthVersionLast="47" xr6:coauthVersionMax="47" xr10:uidLastSave="{00000000-0000-0000-0000-000000000000}"/>
  <bookViews>
    <workbookView xWindow="-120" yWindow="-120" windowWidth="29040" windowHeight="15840" xr2:uid="{58FF793B-5934-4120-B041-C5D149B00EDD}"/>
  </bookViews>
  <sheets>
    <sheet name="COVATEC 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'COVATEC '!$A$11:$AB$60</definedName>
    <definedName name="DS">OFFSET('[1]hàng nhận'!$A$4,0,0,COUNTA('[1]hàng nhận'!$A:$A)-1,1)</definedName>
    <definedName name="_xlnm.Print_Area" localSheetId="0">'COVATEC '!$A$1:$Z$62</definedName>
    <definedName name="_xlnm.Print_Titles" localSheetId="0">'COVATEC '!$A:$Z,'COVATEC '!$11:$11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W54" i="1" l="1"/>
  <c r="V54" i="1"/>
  <c r="U54" i="1"/>
  <c r="T54" i="1"/>
  <c r="S54" i="1"/>
  <c r="R54" i="1"/>
  <c r="Q54" i="1"/>
  <c r="P54" i="1"/>
  <c r="N54" i="1"/>
  <c r="M54" i="1"/>
  <c r="L54" i="1"/>
  <c r="Z53" i="1"/>
  <c r="O53" i="1"/>
  <c r="X53" i="1" s="1"/>
  <c r="Z52" i="1"/>
  <c r="O52" i="1"/>
  <c r="X52" i="1" s="1"/>
  <c r="Z51" i="1"/>
  <c r="O51" i="1"/>
  <c r="X51" i="1" s="1"/>
  <c r="Z50" i="1"/>
  <c r="O50" i="1"/>
  <c r="X50" i="1" s="1"/>
  <c r="Z49" i="1"/>
  <c r="O49" i="1"/>
  <c r="X49" i="1" s="1"/>
  <c r="Z48" i="1"/>
  <c r="O48" i="1"/>
  <c r="X48" i="1" s="1"/>
  <c r="Z47" i="1"/>
  <c r="O47" i="1"/>
  <c r="X47" i="1" s="1"/>
  <c r="Z46" i="1"/>
  <c r="O46" i="1"/>
  <c r="X46" i="1" s="1"/>
  <c r="Z45" i="1"/>
  <c r="O45" i="1"/>
  <c r="X45" i="1" s="1"/>
  <c r="D45" i="1"/>
  <c r="Z44" i="1"/>
  <c r="O44" i="1"/>
  <c r="X44" i="1" s="1"/>
  <c r="D44" i="1"/>
  <c r="Z43" i="1"/>
  <c r="O43" i="1"/>
  <c r="X43" i="1" s="1"/>
  <c r="D43" i="1"/>
  <c r="Z42" i="1"/>
  <c r="O42" i="1"/>
  <c r="X42" i="1" s="1"/>
  <c r="D42" i="1"/>
  <c r="Z41" i="1"/>
  <c r="O41" i="1"/>
  <c r="X41" i="1" s="1"/>
  <c r="D41" i="1"/>
  <c r="Z40" i="1"/>
  <c r="O40" i="1"/>
  <c r="X40" i="1" s="1"/>
  <c r="D40" i="1"/>
  <c r="Z39" i="1"/>
  <c r="O39" i="1"/>
  <c r="X39" i="1" s="1"/>
  <c r="D39" i="1"/>
  <c r="Z38" i="1"/>
  <c r="O38" i="1"/>
  <c r="X38" i="1" s="1"/>
  <c r="D38" i="1"/>
  <c r="Z37" i="1"/>
  <c r="O37" i="1"/>
  <c r="X37" i="1" s="1"/>
  <c r="D37" i="1"/>
  <c r="Z36" i="1"/>
  <c r="O36" i="1"/>
  <c r="X36" i="1" s="1"/>
  <c r="D36" i="1"/>
  <c r="Z35" i="1"/>
  <c r="X35" i="1"/>
  <c r="O35" i="1"/>
  <c r="D35" i="1"/>
  <c r="Z34" i="1"/>
  <c r="O34" i="1"/>
  <c r="X34" i="1" s="1"/>
  <c r="D34" i="1"/>
  <c r="Z33" i="1"/>
  <c r="O33" i="1"/>
  <c r="X33" i="1" s="1"/>
  <c r="D33" i="1"/>
  <c r="Z32" i="1"/>
  <c r="O32" i="1"/>
  <c r="X32" i="1" s="1"/>
  <c r="D32" i="1"/>
  <c r="Z31" i="1"/>
  <c r="O31" i="1"/>
  <c r="X31" i="1" s="1"/>
  <c r="D31" i="1"/>
  <c r="Z30" i="1"/>
  <c r="O30" i="1"/>
  <c r="X30" i="1" s="1"/>
  <c r="D30" i="1"/>
  <c r="Z29" i="1"/>
  <c r="O29" i="1"/>
  <c r="X29" i="1" s="1"/>
  <c r="D29" i="1"/>
  <c r="Z28" i="1"/>
  <c r="O28" i="1"/>
  <c r="X28" i="1" s="1"/>
  <c r="D28" i="1"/>
  <c r="Z27" i="1"/>
  <c r="X27" i="1"/>
  <c r="O27" i="1"/>
  <c r="D27" i="1"/>
  <c r="Z26" i="1"/>
  <c r="O26" i="1"/>
  <c r="X26" i="1" s="1"/>
  <c r="D26" i="1"/>
  <c r="Z25" i="1"/>
  <c r="O25" i="1"/>
  <c r="X25" i="1" s="1"/>
  <c r="D25" i="1"/>
  <c r="Z24" i="1"/>
  <c r="O24" i="1"/>
  <c r="X24" i="1" s="1"/>
  <c r="Y24" i="1" s="1"/>
  <c r="D24" i="1"/>
  <c r="Z23" i="1"/>
  <c r="O23" i="1"/>
  <c r="X23" i="1" s="1"/>
  <c r="D23" i="1"/>
  <c r="Z22" i="1"/>
  <c r="O22" i="1"/>
  <c r="X22" i="1" s="1"/>
  <c r="D22" i="1"/>
  <c r="Z21" i="1"/>
  <c r="X21" i="1"/>
  <c r="O21" i="1"/>
  <c r="D21" i="1"/>
  <c r="Z20" i="1"/>
  <c r="O20" i="1"/>
  <c r="X20" i="1" s="1"/>
  <c r="D20" i="1"/>
  <c r="Z19" i="1"/>
  <c r="X19" i="1"/>
  <c r="O19" i="1"/>
  <c r="D19" i="1"/>
  <c r="Z18" i="1"/>
  <c r="O18" i="1"/>
  <c r="X18" i="1" s="1"/>
  <c r="D18" i="1"/>
  <c r="Z17" i="1"/>
  <c r="O17" i="1"/>
  <c r="X17" i="1" s="1"/>
  <c r="D17" i="1"/>
  <c r="Z16" i="1"/>
  <c r="O16" i="1"/>
  <c r="X16" i="1" s="1"/>
  <c r="D16" i="1"/>
  <c r="Z15" i="1"/>
  <c r="O15" i="1"/>
  <c r="X15" i="1" s="1"/>
  <c r="D15" i="1"/>
  <c r="Z14" i="1"/>
  <c r="O14" i="1"/>
  <c r="X14" i="1" s="1"/>
  <c r="D14" i="1"/>
  <c r="Z13" i="1"/>
  <c r="O13" i="1"/>
  <c r="X13" i="1" s="1"/>
  <c r="D13" i="1"/>
  <c r="Z12" i="1"/>
  <c r="O12" i="1"/>
  <c r="X12" i="1" s="1"/>
  <c r="D12" i="1"/>
  <c r="Y39" i="1" l="1"/>
  <c r="Y32" i="1"/>
  <c r="Y41" i="1"/>
  <c r="Y51" i="1"/>
  <c r="Y17" i="1"/>
  <c r="Y23" i="1"/>
  <c r="Y33" i="1"/>
  <c r="Y38" i="1"/>
  <c r="Y16" i="1"/>
  <c r="Y15" i="1"/>
  <c r="Y25" i="1"/>
  <c r="Y31" i="1"/>
  <c r="Y40" i="1"/>
  <c r="Y47" i="1"/>
  <c r="Y14" i="1"/>
  <c r="Y22" i="1"/>
  <c r="Y30" i="1"/>
  <c r="Y18" i="1"/>
  <c r="Y19" i="1"/>
  <c r="Y26" i="1"/>
  <c r="Y27" i="1"/>
  <c r="Y34" i="1"/>
  <c r="Y35" i="1"/>
  <c r="Y42" i="1"/>
  <c r="Y43" i="1"/>
  <c r="Y48" i="1"/>
  <c r="Y52" i="1"/>
  <c r="Y46" i="1"/>
  <c r="Y50" i="1"/>
  <c r="Y13" i="1"/>
  <c r="Y20" i="1"/>
  <c r="Y21" i="1"/>
  <c r="Y28" i="1"/>
  <c r="Y29" i="1"/>
  <c r="Y36" i="1"/>
  <c r="Y37" i="1"/>
  <c r="Y44" i="1"/>
  <c r="Y45" i="1"/>
  <c r="Y49" i="1"/>
  <c r="Y53" i="1"/>
  <c r="X54" i="1"/>
  <c r="Y12" i="1"/>
  <c r="O54" i="1"/>
  <c r="Y54" i="1" l="1"/>
  <c r="Y56" i="1" s="1"/>
  <c r="C58" i="1" a="1"/>
  <c r="C58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<sst xmlns="http://schemas.openxmlformats.org/spreadsheetml/2006/main" count="424" uniqueCount="167">
  <si>
    <t>CÔNG TY TNHH MEI VINA</t>
  </si>
  <si>
    <t>Tầng 1 toà nhà SH2-20, Số 1, đường Lê Quang Đạo, Phường Từ Liêm, Thành phố Hà Nội, Việt Nam.</t>
  </si>
  <si>
    <t>MST: 0107389727</t>
  </si>
  <si>
    <t>BẢNG KÊ CHI TIẾT CƯỚC QUỐC TẾ</t>
  </si>
  <si>
    <t>Số: MVN - MC/2026</t>
  </si>
  <si>
    <t xml:space="preserve">Đơn vị mua hàng: </t>
  </si>
  <si>
    <t>CÔNG TY TNHH COVA TEC VIỆT NAM</t>
  </si>
  <si>
    <t xml:space="preserve">Địa chỉ : </t>
  </si>
  <si>
    <t xml:space="preserve">Mã số thuế:  </t>
  </si>
  <si>
    <t>NO</t>
  </si>
  <si>
    <t>DATE</t>
  </si>
  <si>
    <t>B/L NO</t>
  </si>
  <si>
    <t>MÃ CB</t>
  </si>
  <si>
    <t>ITEMS</t>
  </si>
  <si>
    <t>SHIPPER</t>
  </si>
  <si>
    <t xml:space="preserve">CONSIGNEE </t>
  </si>
  <si>
    <t>MODE</t>
  </si>
  <si>
    <t>POL</t>
  </si>
  <si>
    <t>POD</t>
  </si>
  <si>
    <t>C/T</t>
  </si>
  <si>
    <t>G.W/T</t>
  </si>
  <si>
    <t>C.WT</t>
  </si>
  <si>
    <t>FREIGHT
CHARGE
(KRW)</t>
  </si>
  <si>
    <t>FUEL</t>
  </si>
  <si>
    <t>CUSTOMS CHARGE</t>
  </si>
  <si>
    <t>DELIVERY
CHARGE
(KRW)</t>
  </si>
  <si>
    <t xml:space="preserve">PHÍ PICK </t>
  </si>
  <si>
    <t>PHÍ GIÁM SÁT TỜ KHAI
( VND)</t>
  </si>
  <si>
    <t>Phí Hàn 
thu hộ</t>
  </si>
  <si>
    <t>OVER
CHARGE</t>
  </si>
  <si>
    <t>OTHER
CHARGE
(KRW)</t>
  </si>
  <si>
    <t>TOTAL AMOUNT
(KRW)</t>
  </si>
  <si>
    <t>TOTAL AMOUNT
(VND)</t>
  </si>
  <si>
    <t>REMARK</t>
  </si>
  <si>
    <t>2026-05-21</t>
  </si>
  <si>
    <t>2002528008</t>
  </si>
  <si>
    <t>OZ734</t>
  </si>
  <si>
    <t>PIN BLOCK 1EA</t>
  </si>
  <si>
    <t>TNHH COVA TEC KTQ</t>
  </si>
  <si>
    <t>COVATEC CO.,LTD.</t>
  </si>
  <si>
    <t>AIR</t>
  </si>
  <si>
    <t>HAN</t>
  </si>
  <si>
    <t>SEL</t>
  </si>
  <si>
    <t>2002528009</t>
  </si>
  <si>
    <t>JIG 8EA</t>
  </si>
  <si>
    <t>2002528011</t>
  </si>
  <si>
    <t>PIN BLOCK 7EA</t>
  </si>
  <si>
    <t>TNHH COVA TEC TQ</t>
  </si>
  <si>
    <t>2002528012</t>
  </si>
  <si>
    <t>JIG 12EA</t>
  </si>
  <si>
    <t>2002528010</t>
  </si>
  <si>
    <t>JIG 13EA</t>
  </si>
  <si>
    <t>COVATEC CO.,LTD. (JOONGBU BRANCH)</t>
  </si>
  <si>
    <t>2026-05-23</t>
  </si>
  <si>
    <t>2002528029</t>
  </si>
  <si>
    <t>JIG 2EA</t>
  </si>
  <si>
    <t>2026-05-25</t>
  </si>
  <si>
    <t>2002528038</t>
  </si>
  <si>
    <t>PIN BLOCK 2PCS</t>
  </si>
  <si>
    <t>2026-05-26</t>
  </si>
  <si>
    <t>2002528051</t>
  </si>
  <si>
    <t>PIN BLOCK 5EA</t>
  </si>
  <si>
    <t>2002528052</t>
  </si>
  <si>
    <t>JIG 4EA</t>
  </si>
  <si>
    <t>2026-05-27</t>
  </si>
  <si>
    <t>2002527914</t>
  </si>
  <si>
    <t>PINBLOCK 1EA</t>
  </si>
  <si>
    <t>2026-05-28</t>
  </si>
  <si>
    <t>2002528175</t>
  </si>
  <si>
    <t>JIG 10EA</t>
  </si>
  <si>
    <t>2026-05-29</t>
  </si>
  <si>
    <t>2002528195</t>
  </si>
  <si>
    <t>JIG 72EA</t>
  </si>
  <si>
    <t>2026-05-30</t>
  </si>
  <si>
    <t>2002528188</t>
  </si>
  <si>
    <t>PINBLOCK 3EA</t>
  </si>
  <si>
    <t>2002528189</t>
  </si>
  <si>
    <t>JIG 3EA</t>
  </si>
  <si>
    <t>2026-06-01</t>
  </si>
  <si>
    <t>2002528226</t>
  </si>
  <si>
    <t>JIG 1EA</t>
  </si>
  <si>
    <t>2026-06-02</t>
  </si>
  <si>
    <t>2002528214</t>
  </si>
  <si>
    <t>COVATEC CO.,LTD.KTQ</t>
  </si>
  <si>
    <t>COVATEC CO.,LTD</t>
  </si>
  <si>
    <t>2002528213</t>
  </si>
  <si>
    <t>PINBLOCK 32EA</t>
  </si>
  <si>
    <t>COVATEC CO.,LTD. TQ</t>
  </si>
  <si>
    <t>2002528215</t>
  </si>
  <si>
    <t>PINBLOCK 4EA</t>
  </si>
  <si>
    <t>COVATEC CO.,LTD.TQ</t>
  </si>
  <si>
    <t>2026-06-04</t>
  </si>
  <si>
    <t>2002527920</t>
  </si>
  <si>
    <t>PINBLOCK 1EA, PINBLOCK PART 1800EA</t>
  </si>
  <si>
    <t>COVATEC CO.,LTD TQ</t>
  </si>
  <si>
    <t>2026-06-05</t>
  </si>
  <si>
    <t>2002528409</t>
  </si>
  <si>
    <t>COVATEC CO.,LTD KTQ</t>
  </si>
  <si>
    <t>2026-06-06</t>
  </si>
  <si>
    <t>2002528493</t>
  </si>
  <si>
    <t>PINBLOCK 16EA , JIG 6EA</t>
  </si>
  <si>
    <t>2002528499</t>
  </si>
  <si>
    <t>PINBLOCK 11EA, PINBLOCK PARD 3EA</t>
  </si>
  <si>
    <t>2026-06-08</t>
  </si>
  <si>
    <t>2002528526</t>
  </si>
  <si>
    <t>2002528527</t>
  </si>
  <si>
    <t>JIG 7EA</t>
  </si>
  <si>
    <t>2026-06-09</t>
  </si>
  <si>
    <t>2002528551</t>
  </si>
  <si>
    <t>PINBLOCK 178EA</t>
  </si>
  <si>
    <t>COVATEC VIETNAM CO., LTD TQ</t>
  </si>
  <si>
    <t>COVATEC CO., LTD</t>
  </si>
  <si>
    <t>2026-06-10</t>
  </si>
  <si>
    <t>2002528598</t>
  </si>
  <si>
    <t>JIG400EA</t>
  </si>
  <si>
    <t>2026-06-12</t>
  </si>
  <si>
    <t>2002528767</t>
  </si>
  <si>
    <t>KJ374</t>
  </si>
  <si>
    <t>PINBLOCK 2EA</t>
  </si>
  <si>
    <t>COVATEC VIETNAM CO., LTD KTQ</t>
  </si>
  <si>
    <t>2002528768</t>
  </si>
  <si>
    <t>2026-06-13</t>
  </si>
  <si>
    <t>2002528848</t>
  </si>
  <si>
    <t>JIG  350PCS</t>
  </si>
  <si>
    <t>2026-06-15</t>
  </si>
  <si>
    <t>2002528876</t>
  </si>
  <si>
    <t>PIN BLOCK 2EA</t>
  </si>
  <si>
    <t>2026-06-16</t>
  </si>
  <si>
    <t>2002489755</t>
  </si>
  <si>
    <t>PINBLOCK 16EA</t>
  </si>
  <si>
    <t>2002489754</t>
  </si>
  <si>
    <t>COVATEC CO.,LTD. (DREAM TECH)</t>
  </si>
  <si>
    <t>2002528935</t>
  </si>
  <si>
    <t>JIG 5EA</t>
  </si>
  <si>
    <t>2002489753</t>
  </si>
  <si>
    <t>JIG 740EA</t>
  </si>
  <si>
    <t>COVATEC CO.,LTD. (YEOMYEONG)</t>
  </si>
  <si>
    <t>2026-06-17</t>
  </si>
  <si>
    <t>2002521956</t>
  </si>
  <si>
    <t>PINBLOCK 9PCS</t>
  </si>
  <si>
    <t>2002521955</t>
  </si>
  <si>
    <t>JIG 2PCS</t>
  </si>
  <si>
    <t>2026-06-18</t>
  </si>
  <si>
    <t>2002521917</t>
  </si>
  <si>
    <t>JIG 55EA</t>
  </si>
  <si>
    <t>2002521918</t>
  </si>
  <si>
    <t>2026-06-19</t>
  </si>
  <si>
    <t>2002521849</t>
  </si>
  <si>
    <t>JIG  19EA</t>
  </si>
  <si>
    <t>2026-06-20</t>
  </si>
  <si>
    <t>PINBLOCK 58EA</t>
  </si>
  <si>
    <t>JIG 260EA</t>
  </si>
  <si>
    <t>Grand Total</t>
  </si>
  <si>
    <t>Tỉ giá</t>
  </si>
  <si>
    <t>Thuế GTGT 0%</t>
  </si>
  <si>
    <t>Tổng Giá trị thanh toán</t>
  </si>
  <si>
    <t>*NOTE: TỈ GIÁ TIỀN WON-VND TÍNH THEO NGÀY CHUYỂN HÀNG</t>
  </si>
  <si>
    <t xml:space="preserve">Bằng chữ: </t>
  </si>
  <si>
    <t xml:space="preserve">       </t>
  </si>
  <si>
    <t>Người mua hàng</t>
  </si>
  <si>
    <t>Người bán hàng</t>
  </si>
  <si>
    <t xml:space="preserve">             Thủ trưởng đơn vị</t>
  </si>
  <si>
    <t>(ký,ghi rõ họ tên)</t>
  </si>
  <si>
    <t xml:space="preserve">              (ký,ghi rõ họ tên)</t>
  </si>
  <si>
    <t xml:space="preserve">       (ký, đóng dấu, ghi rõ họ tên)</t>
  </si>
  <si>
    <t>Số 11 và 15, Đường 17, Khu công nghiệp, đô thị và dịch vụ VSIP Bắc Ninh, Xã Đại Đồng, Tỉnh Bắc Ninh, Việt Nam</t>
  </si>
  <si>
    <t>Ngày 230 tháng 06 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</si>
</sst>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\ _₫_-;\-* #,##0.00\ _₫_-;_-* &quot;-&quot;??\ _₫_-;_-@_-"/>
    <numFmt numFmtId="165" formatCode="_(* #,##0_);_(* \(#,##0\);_(* &quot;-&quot;??_);_(@_)"/>
    <numFmt numFmtId="166" formatCode="&quot;$&quot;#,##0.00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29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name val="Times New Roman"/>
      <family val="1"/>
    </font>
    <font>
      <b/>
      <sz val="14"/>
      <color theme="1"/>
      <name val="Times New Roman"/>
      <family val="1"/>
    </font>
    <font>
      <sz val="12"/>
      <name val="Times New Roman"/>
      <family val="1"/>
    </font>
    <font>
      <sz val="9"/>
      <color theme="1"/>
      <name val="Times New Roman"/>
      <family val="1"/>
    </font>
    <font>
      <sz val="11"/>
      <color rgb="FF000000"/>
      <name val="돋움"/>
    </font>
    <font>
      <sz val="12"/>
      <name val="VNI-Times"/>
      <family val="2"/>
    </font>
    <font>
      <sz val="13"/>
      <color theme="1"/>
      <name val="Times New Roman"/>
      <family val="1"/>
    </font>
    <font>
      <b/>
      <sz val="12"/>
      <name val="Times New Roman"/>
      <family val="1"/>
    </font>
    <font>
      <b/>
      <i/>
      <sz val="11"/>
      <color indexed="8"/>
      <name val="Times New Roman"/>
      <family val="1"/>
    </font>
    <font>
      <i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  <xf numFmtId="164" fontId="1" fillId="0" borderId="0" applyFont="0" applyFill="0" applyBorder="0" applyAlignment="0" applyProtection="0"/>
    <xf numFmtId="0" fontId="12" fillId="0" borderId="0"/>
    <xf numFmtId="0" fontId="13" fillId="0" borderId="0"/>
  </cellStyleXfs>
  <cellXfs count="74">
    <xf numFmtId="0" fontId="0" fillId="0" borderId="0" xfId="0"/>
    <xf numFmtId="0" fontId="4" fillId="0" borderId="0" xfId="0" applyFont="1" applyAlignment="1">
      <alignment vertical="center"/>
    </xf>
    <xf numFmtId="165" fontId="4" fillId="0" borderId="0" xfId="3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0" borderId="0" xfId="2" applyFont="1">
      <alignment vertical="center"/>
    </xf>
    <xf numFmtId="0" fontId="8" fillId="0" borderId="0" xfId="2" applyFont="1" applyAlignment="1">
      <alignment horizontal="center" vertical="center"/>
    </xf>
    <xf numFmtId="0" fontId="8" fillId="0" borderId="0" xfId="2" applyFont="1" applyAlignment="1">
      <alignment horizontal="center" vertical="center" wrapText="1"/>
    </xf>
    <xf numFmtId="165" fontId="9" fillId="0" borderId="0" xfId="3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165" fontId="8" fillId="0" borderId="0" xfId="3" applyNumberFormat="1" applyFont="1" applyAlignment="1">
      <alignment horizontal="center" vertical="center"/>
    </xf>
    <xf numFmtId="0" fontId="8" fillId="0" borderId="1" xfId="2" applyFont="1" applyBorder="1">
      <alignment vertical="center"/>
    </xf>
    <xf numFmtId="0" fontId="8" fillId="0" borderId="1" xfId="2" quotePrefix="1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 wrapText="1"/>
    </xf>
    <xf numFmtId="0" fontId="3" fillId="2" borderId="2" xfId="2" applyFont="1" applyFill="1" applyBorder="1" applyAlignment="1">
      <alignment horizontal="center" vertical="center"/>
    </xf>
    <xf numFmtId="0" fontId="3" fillId="2" borderId="2" xfId="2" applyFont="1" applyFill="1" applyBorder="1" applyAlignment="1">
      <alignment horizontal="center" vertical="center" wrapText="1"/>
    </xf>
    <xf numFmtId="165" fontId="3" fillId="2" borderId="2" xfId="3" applyNumberFormat="1" applyFont="1" applyFill="1" applyBorder="1" applyAlignment="1">
      <alignment horizontal="center" wrapText="1"/>
    </xf>
    <xf numFmtId="165" fontId="3" fillId="2" borderId="2" xfId="3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0" borderId="2" xfId="2" applyFont="1" applyBorder="1" applyAlignment="1">
      <alignment horizontal="center" vertical="center"/>
    </xf>
    <xf numFmtId="49" fontId="10" fillId="0" borderId="2" xfId="0" applyNumberFormat="1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49" fontId="11" fillId="0" borderId="2" xfId="0" applyNumberFormat="1" applyFont="1" applyBorder="1" applyAlignment="1">
      <alignment horizontal="center" vertical="center"/>
    </xf>
    <xf numFmtId="166" fontId="7" fillId="0" borderId="2" xfId="0" quotePrefix="1" applyNumberFormat="1" applyFont="1" applyBorder="1" applyAlignment="1">
      <alignment horizontal="center" vertical="center" wrapText="1"/>
    </xf>
    <xf numFmtId="12" fontId="7" fillId="0" borderId="2" xfId="4" applyNumberFormat="1" applyFont="1" applyBorder="1" applyAlignment="1">
      <alignment horizontal="center" vertical="center" wrapText="1"/>
    </xf>
    <xf numFmtId="0" fontId="7" fillId="0" borderId="2" xfId="4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 wrapText="1"/>
    </xf>
    <xf numFmtId="0" fontId="7" fillId="0" borderId="2" xfId="5" applyFont="1" applyBorder="1" applyAlignment="1">
      <alignment horizontal="center" vertical="center" wrapText="1"/>
    </xf>
    <xf numFmtId="2" fontId="7" fillId="0" borderId="2" xfId="0" quotePrefix="1" applyNumberFormat="1" applyFont="1" applyBorder="1" applyAlignment="1">
      <alignment horizontal="center" vertical="center" wrapText="1"/>
    </xf>
    <xf numFmtId="165" fontId="4" fillId="0" borderId="2" xfId="3" applyNumberFormat="1" applyFont="1" applyFill="1" applyBorder="1" applyAlignment="1">
      <alignment horizontal="center" vertical="center" wrapText="1"/>
    </xf>
    <xf numFmtId="43" fontId="4" fillId="0" borderId="2" xfId="3" applyNumberFormat="1" applyFont="1" applyFill="1" applyBorder="1" applyAlignment="1">
      <alignment horizontal="center" vertical="center" wrapText="1"/>
    </xf>
    <xf numFmtId="3" fontId="4" fillId="0" borderId="2" xfId="0" applyNumberFormat="1" applyFont="1" applyBorder="1" applyAlignment="1">
      <alignment horizontal="center" vertical="center"/>
    </xf>
    <xf numFmtId="43" fontId="14" fillId="2" borderId="2" xfId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165" fontId="3" fillId="2" borderId="2" xfId="1" applyNumberFormat="1" applyFont="1" applyFill="1" applyBorder="1" applyAlignment="1">
      <alignment horizontal="center" vertical="center"/>
    </xf>
    <xf numFmtId="165" fontId="4" fillId="2" borderId="0" xfId="1" applyNumberFormat="1" applyFont="1" applyFill="1" applyBorder="1" applyAlignment="1">
      <alignment horizontal="center" vertical="center"/>
    </xf>
    <xf numFmtId="165" fontId="4" fillId="2" borderId="0" xfId="0" applyNumberFormat="1" applyFont="1" applyFill="1" applyAlignment="1">
      <alignment vertical="center"/>
    </xf>
    <xf numFmtId="0" fontId="4" fillId="2" borderId="0" xfId="0" applyFont="1" applyFill="1" applyAlignment="1">
      <alignment vertical="center"/>
    </xf>
    <xf numFmtId="165" fontId="3" fillId="2" borderId="2" xfId="3" applyNumberFormat="1" applyFont="1" applyFill="1" applyBorder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165" fontId="3" fillId="2" borderId="0" xfId="3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top"/>
    </xf>
    <xf numFmtId="0" fontId="17" fillId="2" borderId="0" xfId="0" applyFont="1" applyFill="1" applyAlignment="1">
      <alignment horizontal="center" vertical="top"/>
    </xf>
    <xf numFmtId="0" fontId="17" fillId="2" borderId="0" xfId="0" applyFont="1" applyFill="1" applyAlignment="1">
      <alignment vertical="top" wrapText="1"/>
    </xf>
    <xf numFmtId="165" fontId="17" fillId="2" borderId="0" xfId="3" applyNumberFormat="1" applyFont="1" applyFill="1" applyAlignment="1">
      <alignment vertical="top"/>
    </xf>
    <xf numFmtId="165" fontId="17" fillId="2" borderId="0" xfId="3" applyNumberFormat="1" applyFont="1" applyFill="1" applyAlignment="1">
      <alignment horizontal="center" vertical="top"/>
    </xf>
    <xf numFmtId="0" fontId="3" fillId="2" borderId="0" xfId="0" applyFont="1" applyFill="1" applyAlignment="1">
      <alignment horizontal="center" vertical="top"/>
    </xf>
    <xf numFmtId="0" fontId="17" fillId="2" borderId="0" xfId="0" applyFont="1" applyFill="1" applyAlignment="1">
      <alignment horizontal="center" vertical="center"/>
    </xf>
    <xf numFmtId="0" fontId="17" fillId="2" borderId="0" xfId="0" applyFont="1" applyFill="1" applyAlignment="1">
      <alignment vertical="center" wrapText="1"/>
    </xf>
    <xf numFmtId="165" fontId="17" fillId="2" borderId="0" xfId="3" applyNumberFormat="1" applyFont="1" applyFill="1" applyAlignment="1">
      <alignment vertical="center"/>
    </xf>
    <xf numFmtId="165" fontId="17" fillId="2" borderId="0" xfId="3" applyNumberFormat="1" applyFont="1" applyFill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7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165" fontId="3" fillId="2" borderId="0" xfId="3" applyNumberFormat="1" applyFont="1" applyFill="1" applyAlignment="1">
      <alignment horizontal="center" vertical="center"/>
    </xf>
    <xf numFmtId="0" fontId="17" fillId="2" borderId="0" xfId="0" applyFont="1" applyFill="1" applyAlignment="1">
      <alignment horizontal="center" vertical="top"/>
    </xf>
    <xf numFmtId="0" fontId="17" fillId="2" borderId="0" xfId="0" applyFont="1" applyFill="1" applyAlignment="1">
      <alignment horizontal="center" vertical="top" wrapText="1"/>
    </xf>
    <xf numFmtId="165" fontId="17" fillId="2" borderId="0" xfId="3" applyNumberFormat="1" applyFont="1" applyFill="1" applyAlignment="1">
      <alignment horizontal="center" vertical="top"/>
    </xf>
    <xf numFmtId="0" fontId="4" fillId="0" borderId="0" xfId="2" applyFont="1" applyAlignment="1">
      <alignment horizontal="center" vertical="center"/>
    </xf>
    <xf numFmtId="0" fontId="8" fillId="0" borderId="0" xfId="2" applyFont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/>
    </xf>
    <xf numFmtId="165" fontId="3" fillId="2" borderId="2" xfId="3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7" fillId="0" borderId="0" xfId="2" applyFont="1" applyAlignment="1">
      <alignment horizontal="center" vertical="center"/>
    </xf>
    <xf numFmtId="0" fontId="3" fillId="0" borderId="0" xfId="2" applyFont="1" applyAlignment="1">
      <alignment horizontal="left" vertical="center"/>
    </xf>
    <xf numFmtId="0" fontId="4" fillId="0" borderId="0" xfId="2" applyFont="1" applyAlignment="1">
      <alignment horizontal="left" vertical="center"/>
    </xf>
    <xf numFmtId="0" fontId="5" fillId="0" borderId="0" xfId="2" applyFont="1" applyAlignment="1">
      <alignment horizontal="left" vertical="center"/>
    </xf>
    <xf numFmtId="0" fontId="6" fillId="0" borderId="0" xfId="2" applyFont="1" applyAlignment="1">
      <alignment horizontal="center" vertical="center"/>
    </xf>
    <xf numFmtId="0" fontId="8" fillId="0" borderId="0" xfId="2" quotePrefix="1" applyFont="1" applyAlignment="1">
      <alignment horizontal="left" vertical="center" wrapText="1"/>
    </xf>
  </cellXfs>
  <cellStyles count="6">
    <cellStyle name="Comma" xfId="1" builtinId="3"/>
    <cellStyle name="Comma 2" xfId="3" xr:uid="{71D6C546-AE5A-4A36-A9EA-258DDB3F2A75}"/>
    <cellStyle name="Normal" xfId="0" builtinId="0"/>
    <cellStyle name="Normal 7 2" xfId="4" xr:uid="{0F6B7443-9006-4B99-BA58-BC613EA4A26D}"/>
    <cellStyle name="Normal_MC TRANS NEW MANIFEST APR-25-2010 2" xfId="5" xr:uid="{F3CC7805-AD94-4B28-B5A8-DE6E2A996FD8}"/>
    <cellStyle name="표준 2" xfId="2" xr:uid="{97D48F39-E2D6-4663-8675-C81701A7540C}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nh\bang%20nhap%20lieu\2012\Nhap%20lieu%20thang%200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4-%20TH%20T&#7880;%20GI&#193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\Downloads\Doiso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àng nhận"/>
      <sheetName val="hàng trả"/>
      <sheetName val="chiết khấu"/>
      <sheetName val="KS Bill bị loại"/>
      <sheetName val="KS vận đơn"/>
      <sheetName val="KSVD"/>
      <sheetName val="Phi XD"/>
      <sheetName val="danh sách KH"/>
      <sheetName val="Danh bạ"/>
      <sheetName val="Sheet1"/>
      <sheetName val="ha?ng nhâ?n"/>
    </sheetNames>
    <sheetDataSet>
      <sheetData sheetId="0">
        <row r="3">
          <cell r="A3" t="str">
            <v>Vận đơn/
AWB</v>
          </cell>
        </row>
        <row r="4">
          <cell r="A4" t="str">
            <v>011519</v>
          </cell>
        </row>
        <row r="5">
          <cell r="A5" t="str">
            <v>011528</v>
          </cell>
        </row>
        <row r="6">
          <cell r="A6" t="str">
            <v>011520</v>
          </cell>
        </row>
        <row r="7">
          <cell r="A7" t="str">
            <v>011521</v>
          </cell>
        </row>
        <row r="8">
          <cell r="A8" t="str">
            <v>011518</v>
          </cell>
        </row>
        <row r="9">
          <cell r="A9" t="str">
            <v>011522</v>
          </cell>
        </row>
        <row r="10">
          <cell r="A10" t="str">
            <v>011523</v>
          </cell>
        </row>
        <row r="11">
          <cell r="A11" t="str">
            <v>011524</v>
          </cell>
        </row>
        <row r="12">
          <cell r="A12" t="str">
            <v>011525</v>
          </cell>
        </row>
        <row r="13">
          <cell r="A13" t="str">
            <v>011526</v>
          </cell>
        </row>
        <row r="14">
          <cell r="A14" t="str">
            <v>011527</v>
          </cell>
        </row>
        <row r="15">
          <cell r="A15" t="str">
            <v>011205</v>
          </cell>
        </row>
        <row r="16">
          <cell r="A16" t="str">
            <v>011206</v>
          </cell>
        </row>
        <row r="17">
          <cell r="A17" t="str">
            <v>011552</v>
          </cell>
        </row>
        <row r="18">
          <cell r="A18" t="str">
            <v>7443  6062</v>
          </cell>
        </row>
        <row r="19">
          <cell r="A19" t="str">
            <v>011550</v>
          </cell>
        </row>
        <row r="20">
          <cell r="A20" t="str">
            <v>011538</v>
          </cell>
        </row>
        <row r="21">
          <cell r="A21" t="str">
            <v>011547</v>
          </cell>
        </row>
        <row r="22">
          <cell r="A22" t="str">
            <v>011546</v>
          </cell>
        </row>
        <row r="23">
          <cell r="A23" t="str">
            <v>011548</v>
          </cell>
        </row>
        <row r="24">
          <cell r="A24" t="str">
            <v>011540</v>
          </cell>
        </row>
        <row r="25">
          <cell r="A25" t="str">
            <v>011539</v>
          </cell>
        </row>
        <row r="26">
          <cell r="A26" t="str">
            <v>011533</v>
          </cell>
        </row>
        <row r="27">
          <cell r="A27" t="str">
            <v>011545</v>
          </cell>
        </row>
        <row r="28">
          <cell r="A28" t="str">
            <v>011583</v>
          </cell>
        </row>
        <row r="29">
          <cell r="A29" t="str">
            <v>011536</v>
          </cell>
        </row>
        <row r="30">
          <cell r="A30" t="str">
            <v>011537</v>
          </cell>
        </row>
        <row r="31">
          <cell r="A31" t="str">
            <v>011541</v>
          </cell>
        </row>
        <row r="32">
          <cell r="A32" t="str">
            <v>011542</v>
          </cell>
        </row>
        <row r="33">
          <cell r="A33" t="str">
            <v>011543</v>
          </cell>
        </row>
        <row r="34">
          <cell r="A34" t="str">
            <v>011544</v>
          </cell>
        </row>
        <row r="35">
          <cell r="A35" t="str">
            <v>011549</v>
          </cell>
        </row>
        <row r="36">
          <cell r="A36" t="str">
            <v>011596</v>
          </cell>
        </row>
        <row r="37">
          <cell r="A37" t="str">
            <v>011597</v>
          </cell>
        </row>
        <row r="38">
          <cell r="A38" t="str">
            <v>011599</v>
          </cell>
        </row>
        <row r="39">
          <cell r="A39" t="str">
            <v>011601</v>
          </cell>
        </row>
        <row r="40">
          <cell r="A40" t="str">
            <v>011602</v>
          </cell>
        </row>
        <row r="41">
          <cell r="A41" t="str">
            <v>005975</v>
          </cell>
        </row>
        <row r="42">
          <cell r="A42" t="str">
            <v>011584</v>
          </cell>
        </row>
        <row r="43">
          <cell r="A43" t="str">
            <v>74436121</v>
          </cell>
        </row>
        <row r="44">
          <cell r="A44" t="str">
            <v>011622</v>
          </cell>
        </row>
        <row r="45">
          <cell r="A45" t="str">
            <v>011598</v>
          </cell>
        </row>
        <row r="46">
          <cell r="A46" t="str">
            <v>011591</v>
          </cell>
        </row>
        <row r="47">
          <cell r="A47" t="str">
            <v>011585</v>
          </cell>
        </row>
        <row r="48">
          <cell r="A48" t="str">
            <v>011586</v>
          </cell>
        </row>
        <row r="49">
          <cell r="A49" t="str">
            <v>011587</v>
          </cell>
        </row>
        <row r="50">
          <cell r="A50" t="str">
            <v>011588</v>
          </cell>
        </row>
        <row r="51">
          <cell r="A51" t="str">
            <v>011589</v>
          </cell>
        </row>
        <row r="52">
          <cell r="A52" t="str">
            <v>011590</v>
          </cell>
        </row>
        <row r="53">
          <cell r="A53" t="str">
            <v>011592</v>
          </cell>
        </row>
        <row r="54">
          <cell r="A54" t="str">
            <v>011594</v>
          </cell>
        </row>
        <row r="55">
          <cell r="A55" t="str">
            <v>011595</v>
          </cell>
        </row>
        <row r="56">
          <cell r="A56" t="str">
            <v>011617</v>
          </cell>
        </row>
        <row r="57">
          <cell r="A57" t="str">
            <v>011392</v>
          </cell>
        </row>
        <row r="58">
          <cell r="A58" t="str">
            <v>010693</v>
          </cell>
        </row>
        <row r="59">
          <cell r="A59" t="str">
            <v>011395</v>
          </cell>
        </row>
        <row r="60">
          <cell r="A60" t="str">
            <v>011619</v>
          </cell>
        </row>
        <row r="61">
          <cell r="A61" t="str">
            <v>011593</v>
          </cell>
        </row>
        <row r="62">
          <cell r="A62" t="str">
            <v>011603</v>
          </cell>
        </row>
        <row r="63">
          <cell r="A63" t="str">
            <v>011604</v>
          </cell>
        </row>
        <row r="64">
          <cell r="A64" t="str">
            <v>011621</v>
          </cell>
        </row>
        <row r="65">
          <cell r="A65" t="str">
            <v>011620</v>
          </cell>
        </row>
        <row r="66">
          <cell r="A66" t="str">
            <v>011391</v>
          </cell>
        </row>
        <row r="67">
          <cell r="A67" t="str">
            <v>011605</v>
          </cell>
        </row>
        <row r="68">
          <cell r="A68" t="str">
            <v>011613</v>
          </cell>
        </row>
        <row r="69">
          <cell r="A69" t="str">
            <v>011606</v>
          </cell>
        </row>
        <row r="70">
          <cell r="A70" t="str">
            <v>011607</v>
          </cell>
        </row>
        <row r="71">
          <cell r="A71" t="str">
            <v>011608</v>
          </cell>
        </row>
        <row r="72">
          <cell r="A72" t="str">
            <v>011609</v>
          </cell>
        </row>
        <row r="73">
          <cell r="A73" t="str">
            <v>011610</v>
          </cell>
        </row>
        <row r="74">
          <cell r="A74" t="str">
            <v>011611</v>
          </cell>
        </row>
        <row r="75">
          <cell r="A75" t="str">
            <v>010695</v>
          </cell>
        </row>
        <row r="76">
          <cell r="A76" t="str">
            <v>011390</v>
          </cell>
        </row>
        <row r="77">
          <cell r="A77" t="str">
            <v>7443  5830</v>
          </cell>
        </row>
        <row r="78">
          <cell r="A78" t="str">
            <v>011612</v>
          </cell>
        </row>
        <row r="79">
          <cell r="A79" t="str">
            <v>011394</v>
          </cell>
        </row>
        <row r="80">
          <cell r="A80" t="str">
            <v>010694</v>
          </cell>
        </row>
        <row r="81">
          <cell r="A81" t="str">
            <v>011393</v>
          </cell>
        </row>
        <row r="82">
          <cell r="A82" t="str">
            <v>011572</v>
          </cell>
        </row>
        <row r="83">
          <cell r="A83" t="str">
            <v>011571</v>
          </cell>
        </row>
        <row r="84">
          <cell r="A84" t="str">
            <v>011615</v>
          </cell>
        </row>
        <row r="85">
          <cell r="A85" t="str">
            <v>011614</v>
          </cell>
        </row>
        <row r="86">
          <cell r="A86" t="str">
            <v>011616</v>
          </cell>
        </row>
        <row r="87">
          <cell r="A87" t="str">
            <v>011618</v>
          </cell>
        </row>
        <row r="88">
          <cell r="A88" t="str">
            <v>011623</v>
          </cell>
        </row>
        <row r="89">
          <cell r="A89" t="str">
            <v>011624</v>
          </cell>
        </row>
        <row r="90">
          <cell r="A90" t="str">
            <v>011625</v>
          </cell>
        </row>
        <row r="91">
          <cell r="A91" t="str">
            <v>011626</v>
          </cell>
        </row>
        <row r="92">
          <cell r="A92" t="str">
            <v>011627</v>
          </cell>
        </row>
        <row r="93">
          <cell r="A93" t="str">
            <v>011628</v>
          </cell>
        </row>
        <row r="94">
          <cell r="A94" t="str">
            <v>011629</v>
          </cell>
        </row>
        <row r="95">
          <cell r="A95" t="str">
            <v>011630</v>
          </cell>
        </row>
        <row r="96">
          <cell r="A96" t="str">
            <v>7443  6213</v>
          </cell>
        </row>
        <row r="97">
          <cell r="A97" t="str">
            <v>011632</v>
          </cell>
        </row>
        <row r="98">
          <cell r="A98" t="str">
            <v>011635</v>
          </cell>
        </row>
        <row r="99">
          <cell r="A99" t="str">
            <v>011396</v>
          </cell>
        </row>
        <row r="100">
          <cell r="A100" t="str">
            <v>011398</v>
          </cell>
        </row>
        <row r="101">
          <cell r="A101" t="str">
            <v>011399</v>
          </cell>
        </row>
        <row r="102">
          <cell r="A102" t="str">
            <v>011631</v>
          </cell>
        </row>
        <row r="103">
          <cell r="A103" t="str">
            <v>011400</v>
          </cell>
        </row>
        <row r="104">
          <cell r="A104" t="str">
            <v>011633</v>
          </cell>
        </row>
        <row r="105">
          <cell r="A105" t="str">
            <v>011569</v>
          </cell>
        </row>
        <row r="106">
          <cell r="A106" t="str">
            <v>011570</v>
          </cell>
        </row>
        <row r="107">
          <cell r="A107" t="str">
            <v>011634</v>
          </cell>
        </row>
        <row r="108">
          <cell r="A108" t="str">
            <v>011636</v>
          </cell>
        </row>
        <row r="109">
          <cell r="A109" t="str">
            <v>011638</v>
          </cell>
        </row>
        <row r="110">
          <cell r="A110" t="str">
            <v>011639</v>
          </cell>
        </row>
        <row r="111">
          <cell r="A111" t="str">
            <v>011641</v>
          </cell>
        </row>
        <row r="112">
          <cell r="A112" t="str">
            <v>011643</v>
          </cell>
        </row>
        <row r="113">
          <cell r="A113" t="str">
            <v>011644</v>
          </cell>
        </row>
        <row r="114">
          <cell r="A114" t="str">
            <v>7443  6250</v>
          </cell>
        </row>
        <row r="115">
          <cell r="A115" t="str">
            <v>011637</v>
          </cell>
        </row>
        <row r="116">
          <cell r="A116" t="str">
            <v>011642</v>
          </cell>
        </row>
        <row r="117">
          <cell r="A117" t="str">
            <v>011405</v>
          </cell>
        </row>
        <row r="118">
          <cell r="A118" t="str">
            <v>011562</v>
          </cell>
        </row>
        <row r="119">
          <cell r="A119" t="str">
            <v>011563</v>
          </cell>
        </row>
        <row r="120">
          <cell r="A120" t="str">
            <v>011397</v>
          </cell>
        </row>
        <row r="121">
          <cell r="A121" t="str">
            <v>011406</v>
          </cell>
        </row>
        <row r="122">
          <cell r="A122" t="str">
            <v>011645</v>
          </cell>
        </row>
        <row r="123">
          <cell r="A123" t="str">
            <v>011646</v>
          </cell>
        </row>
        <row r="124">
          <cell r="A124" t="str">
            <v>011647</v>
          </cell>
        </row>
        <row r="125">
          <cell r="A125" t="str">
            <v>011660</v>
          </cell>
        </row>
        <row r="126">
          <cell r="A126" t="str">
            <v>011553</v>
          </cell>
        </row>
        <row r="127">
          <cell r="A127" t="str">
            <v>011554</v>
          </cell>
        </row>
        <row r="128">
          <cell r="A128" t="str">
            <v>011649</v>
          </cell>
        </row>
        <row r="129">
          <cell r="A129" t="str">
            <v>011651</v>
          </cell>
        </row>
        <row r="130">
          <cell r="A130" t="str">
            <v>011648</v>
          </cell>
        </row>
        <row r="131">
          <cell r="A131" t="str">
            <v>011650</v>
          </cell>
        </row>
        <row r="132">
          <cell r="A132" t="str">
            <v>011402</v>
          </cell>
        </row>
        <row r="133">
          <cell r="A133" t="str">
            <v>011556</v>
          </cell>
        </row>
        <row r="134">
          <cell r="A134" t="str">
            <v>011657</v>
          </cell>
        </row>
        <row r="135">
          <cell r="A135" t="str">
            <v>011557</v>
          </cell>
        </row>
        <row r="136">
          <cell r="A136" t="str">
            <v>011656</v>
          </cell>
        </row>
        <row r="137">
          <cell r="A137" t="str">
            <v>7443  6375</v>
          </cell>
        </row>
        <row r="138">
          <cell r="A138" t="str">
            <v>011560</v>
          </cell>
        </row>
        <row r="139">
          <cell r="A139" t="str">
            <v>011659</v>
          </cell>
        </row>
        <row r="140">
          <cell r="A140" t="str">
            <v>011718</v>
          </cell>
        </row>
        <row r="141">
          <cell r="A141" t="str">
            <v>011719</v>
          </cell>
        </row>
        <row r="142">
          <cell r="A142" t="str">
            <v>011653</v>
          </cell>
        </row>
        <row r="143">
          <cell r="A143" t="str">
            <v>011654</v>
          </cell>
        </row>
        <row r="144">
          <cell r="A144" t="str">
            <v>011559</v>
          </cell>
        </row>
        <row r="145">
          <cell r="A145" t="str">
            <v>011403</v>
          </cell>
        </row>
        <row r="146">
          <cell r="A146" t="str">
            <v>011652</v>
          </cell>
        </row>
        <row r="147">
          <cell r="A147" t="str">
            <v>011655</v>
          </cell>
        </row>
        <row r="148">
          <cell r="A148" t="str">
            <v>011658</v>
          </cell>
        </row>
        <row r="149">
          <cell r="A149" t="str">
            <v>011555</v>
          </cell>
        </row>
        <row r="150">
          <cell r="A150" t="str">
            <v>011558</v>
          </cell>
        </row>
        <row r="151">
          <cell r="A151" t="str">
            <v>011566</v>
          </cell>
        </row>
        <row r="152">
          <cell r="A152" t="str">
            <v>011567</v>
          </cell>
        </row>
        <row r="153">
          <cell r="A153" t="str">
            <v>011568</v>
          </cell>
        </row>
        <row r="154">
          <cell r="A154" t="str">
            <v>011681</v>
          </cell>
        </row>
        <row r="155">
          <cell r="A155" t="str">
            <v>011682</v>
          </cell>
        </row>
        <row r="156">
          <cell r="A156" t="str">
            <v>7443  6434</v>
          </cell>
        </row>
        <row r="157">
          <cell r="A157" t="str">
            <v>011565</v>
          </cell>
        </row>
        <row r="158">
          <cell r="A158" t="str">
            <v>011561</v>
          </cell>
        </row>
        <row r="159">
          <cell r="A159" t="str">
            <v>011409</v>
          </cell>
        </row>
        <row r="160">
          <cell r="A160" t="str">
            <v>011408</v>
          </cell>
        </row>
        <row r="161">
          <cell r="A161" t="str">
            <v>011692</v>
          </cell>
        </row>
        <row r="162">
          <cell r="A162" t="str">
            <v>011683</v>
          </cell>
        </row>
        <row r="163">
          <cell r="A163" t="str">
            <v>011684</v>
          </cell>
        </row>
        <row r="164">
          <cell r="A164" t="str">
            <v>011686</v>
          </cell>
        </row>
        <row r="165">
          <cell r="A165" t="str">
            <v>011687</v>
          </cell>
        </row>
        <row r="166">
          <cell r="A166" t="str">
            <v>011688</v>
          </cell>
        </row>
        <row r="167">
          <cell r="A167" t="str">
            <v>011689</v>
          </cell>
        </row>
        <row r="168">
          <cell r="A168" t="str">
            <v>011690</v>
          </cell>
        </row>
        <row r="169">
          <cell r="A169" t="str">
            <v>011691</v>
          </cell>
        </row>
        <row r="170">
          <cell r="A170" t="str">
            <v>011693</v>
          </cell>
        </row>
        <row r="171">
          <cell r="A171" t="str">
            <v>011694</v>
          </cell>
        </row>
        <row r="172">
          <cell r="A172" t="str">
            <v>011700</v>
          </cell>
        </row>
        <row r="173">
          <cell r="A173" t="str">
            <v>011564</v>
          </cell>
        </row>
        <row r="174">
          <cell r="A174" t="str">
            <v>011407</v>
          </cell>
        </row>
        <row r="175">
          <cell r="A175" t="str">
            <v>011695</v>
          </cell>
        </row>
        <row r="176">
          <cell r="A176" t="str">
            <v>011696</v>
          </cell>
        </row>
        <row r="177">
          <cell r="A177" t="str">
            <v>011697</v>
          </cell>
        </row>
        <row r="178">
          <cell r="A178" t="str">
            <v>011699</v>
          </cell>
        </row>
        <row r="179">
          <cell r="A179" t="str">
            <v>011410</v>
          </cell>
        </row>
        <row r="180">
          <cell r="A180" t="str">
            <v>011411</v>
          </cell>
        </row>
        <row r="181">
          <cell r="A181" t="str">
            <v>011698</v>
          </cell>
        </row>
        <row r="182">
          <cell r="A182" t="str">
            <v>011701</v>
          </cell>
        </row>
        <row r="183">
          <cell r="A183" t="str">
            <v>011702</v>
          </cell>
        </row>
        <row r="184">
          <cell r="A184" t="str">
            <v>7443  6471</v>
          </cell>
        </row>
        <row r="185">
          <cell r="A185" t="str">
            <v>011712</v>
          </cell>
        </row>
        <row r="186">
          <cell r="A186" t="str">
            <v>011716</v>
          </cell>
        </row>
        <row r="187">
          <cell r="A187" t="str">
            <v>011717</v>
          </cell>
        </row>
        <row r="188">
          <cell r="A188" t="str">
            <v>011680</v>
          </cell>
        </row>
        <row r="189">
          <cell r="A189" t="str">
            <v>011703</v>
          </cell>
        </row>
        <row r="190">
          <cell r="A190" t="str">
            <v>011704</v>
          </cell>
        </row>
        <row r="191">
          <cell r="A191" t="str">
            <v>011705</v>
          </cell>
        </row>
        <row r="192">
          <cell r="A192" t="str">
            <v>011706</v>
          </cell>
        </row>
        <row r="193">
          <cell r="A193" t="str">
            <v>011713</v>
          </cell>
        </row>
        <row r="194">
          <cell r="A194" t="str">
            <v>011715</v>
          </cell>
        </row>
        <row r="195">
          <cell r="A195" t="str">
            <v>011720</v>
          </cell>
        </row>
        <row r="196">
          <cell r="A196" t="str">
            <v>011735</v>
          </cell>
        </row>
        <row r="197">
          <cell r="A197" t="str">
            <v>7443  6574</v>
          </cell>
        </row>
        <row r="198">
          <cell r="A198" t="str">
            <v>011777</v>
          </cell>
        </row>
        <row r="199">
          <cell r="A199" t="str">
            <v>011778</v>
          </cell>
        </row>
        <row r="200">
          <cell r="A200" t="str">
            <v>011779</v>
          </cell>
        </row>
        <row r="201">
          <cell r="A201" t="str">
            <v>011679</v>
          </cell>
        </row>
        <row r="202">
          <cell r="A202" t="str">
            <v>011780</v>
          </cell>
        </row>
        <row r="203">
          <cell r="A203" t="str">
            <v>011714</v>
          </cell>
        </row>
        <row r="204">
          <cell r="A204" t="str">
            <v>011707</v>
          </cell>
        </row>
        <row r="205">
          <cell r="A205" t="str">
            <v>011709</v>
          </cell>
        </row>
        <row r="206">
          <cell r="A206" t="str">
            <v>011710</v>
          </cell>
        </row>
        <row r="207">
          <cell r="A207" t="str">
            <v>011711</v>
          </cell>
        </row>
        <row r="208">
          <cell r="A208" t="str">
            <v>011721</v>
          </cell>
        </row>
        <row r="209">
          <cell r="A209" t="str">
            <v>011677</v>
          </cell>
        </row>
        <row r="210">
          <cell r="A210" t="str">
            <v>011736</v>
          </cell>
        </row>
        <row r="211">
          <cell r="A211" t="str">
            <v>7443  6611</v>
          </cell>
        </row>
        <row r="212">
          <cell r="A212" t="str">
            <v>011738</v>
          </cell>
        </row>
        <row r="213">
          <cell r="A213" t="str">
            <v>011742</v>
          </cell>
        </row>
        <row r="214">
          <cell r="A214" t="str">
            <v>011741</v>
          </cell>
        </row>
        <row r="215">
          <cell r="A215" t="str">
            <v>011743</v>
          </cell>
        </row>
        <row r="216">
          <cell r="A216" t="str">
            <v>011723</v>
          </cell>
        </row>
        <row r="217">
          <cell r="A217" t="str">
            <v>011722</v>
          </cell>
        </row>
        <row r="218">
          <cell r="A218" t="str">
            <v>011727</v>
          </cell>
        </row>
        <row r="219">
          <cell r="A219" t="str">
            <v>011724</v>
          </cell>
        </row>
        <row r="220">
          <cell r="A220" t="str">
            <v>011725</v>
          </cell>
        </row>
        <row r="221">
          <cell r="A221" t="str">
            <v>011726</v>
          </cell>
        </row>
        <row r="222">
          <cell r="A222" t="str">
            <v>011728</v>
          </cell>
        </row>
        <row r="223">
          <cell r="A223" t="str">
            <v>011729</v>
          </cell>
        </row>
        <row r="224">
          <cell r="A224" t="str">
            <v>011734</v>
          </cell>
        </row>
        <row r="225">
          <cell r="A225" t="str">
            <v>011737</v>
          </cell>
        </row>
        <row r="226">
          <cell r="A226" t="str">
            <v>011739</v>
          </cell>
        </row>
        <row r="227">
          <cell r="A227" t="str">
            <v>011740</v>
          </cell>
        </row>
        <row r="228">
          <cell r="A228" t="str">
            <v>7443  6692</v>
          </cell>
        </row>
        <row r="229">
          <cell r="A229" t="str">
            <v>011730</v>
          </cell>
        </row>
        <row r="230">
          <cell r="A230" t="str">
            <v>011746</v>
          </cell>
        </row>
        <row r="231">
          <cell r="A231" t="str">
            <v>011708</v>
          </cell>
        </row>
        <row r="232">
          <cell r="A232" t="str">
            <v>011745</v>
          </cell>
        </row>
        <row r="233">
          <cell r="A233" t="str">
            <v>009868</v>
          </cell>
        </row>
        <row r="234">
          <cell r="A234" t="str">
            <v>011733</v>
          </cell>
        </row>
        <row r="235">
          <cell r="A235" t="str">
            <v>011800</v>
          </cell>
        </row>
        <row r="236">
          <cell r="A236" t="str">
            <v>011731</v>
          </cell>
        </row>
        <row r="237">
          <cell r="A237" t="str">
            <v>011732</v>
          </cell>
        </row>
        <row r="238">
          <cell r="A238" t="str">
            <v>011744</v>
          </cell>
        </row>
        <row r="239">
          <cell r="A239" t="str">
            <v>011781</v>
          </cell>
        </row>
        <row r="240">
          <cell r="A240" t="str">
            <v>011782</v>
          </cell>
        </row>
        <row r="241">
          <cell r="A241" t="str">
            <v>011783</v>
          </cell>
        </row>
        <row r="242">
          <cell r="A242" t="str">
            <v>011784</v>
          </cell>
        </row>
        <row r="243">
          <cell r="A243" t="str">
            <v>011785</v>
          </cell>
        </row>
        <row r="244">
          <cell r="A244" t="str">
            <v>011798</v>
          </cell>
        </row>
        <row r="245">
          <cell r="A245" t="str">
            <v>011799</v>
          </cell>
        </row>
        <row r="246">
          <cell r="A246" t="str">
            <v>7443  6832</v>
          </cell>
        </row>
        <row r="247">
          <cell r="A247" t="str">
            <v>011816</v>
          </cell>
        </row>
        <row r="248">
          <cell r="A248" t="str">
            <v>011794</v>
          </cell>
        </row>
        <row r="249">
          <cell r="A249" t="str">
            <v>011795</v>
          </cell>
        </row>
        <row r="250">
          <cell r="A250" t="str">
            <v>011817</v>
          </cell>
        </row>
        <row r="251">
          <cell r="A251" t="str">
            <v>011774</v>
          </cell>
        </row>
        <row r="252">
          <cell r="A252" t="str">
            <v>011797</v>
          </cell>
        </row>
        <row r="253">
          <cell r="A253" t="str">
            <v>011786</v>
          </cell>
        </row>
        <row r="254">
          <cell r="A254" t="str">
            <v>011787</v>
          </cell>
        </row>
        <row r="255">
          <cell r="A255" t="str">
            <v>011788</v>
          </cell>
        </row>
        <row r="256">
          <cell r="A256" t="str">
            <v>011792</v>
          </cell>
        </row>
        <row r="257">
          <cell r="A257" t="str">
            <v>011793</v>
          </cell>
        </row>
        <row r="258">
          <cell r="A258" t="str">
            <v>011796</v>
          </cell>
        </row>
        <row r="259">
          <cell r="A259" t="str">
            <v>011789</v>
          </cell>
        </row>
        <row r="260">
          <cell r="A260" t="str">
            <v>011815</v>
          </cell>
        </row>
        <row r="261">
          <cell r="A261" t="str">
            <v>011790</v>
          </cell>
        </row>
        <row r="262">
          <cell r="A262" t="str">
            <v>011791</v>
          </cell>
        </row>
        <row r="263">
          <cell r="A263" t="str">
            <v>011801</v>
          </cell>
        </row>
        <row r="264">
          <cell r="A264" t="str">
            <v>011802</v>
          </cell>
        </row>
        <row r="265">
          <cell r="A265" t="str">
            <v>011818</v>
          </cell>
        </row>
        <row r="266">
          <cell r="A266" t="str">
            <v>011819</v>
          </cell>
        </row>
        <row r="267">
          <cell r="A267" t="str">
            <v>011820</v>
          </cell>
        </row>
        <row r="268">
          <cell r="A268" t="str">
            <v>011803</v>
          </cell>
        </row>
        <row r="269">
          <cell r="A269" t="str">
            <v>011775</v>
          </cell>
        </row>
        <row r="270">
          <cell r="A270" t="str">
            <v>011804</v>
          </cell>
        </row>
        <row r="271">
          <cell r="A271" t="str">
            <v>011805</v>
          </cell>
        </row>
        <row r="272">
          <cell r="A272" t="str">
            <v>011806</v>
          </cell>
        </row>
        <row r="273">
          <cell r="A273" t="str">
            <v>011807</v>
          </cell>
        </row>
        <row r="274">
          <cell r="A274" t="str">
            <v>011776</v>
          </cell>
        </row>
        <row r="275">
          <cell r="A275" t="str">
            <v>7443  6902</v>
          </cell>
        </row>
        <row r="276">
          <cell r="A276" t="str">
            <v>011810</v>
          </cell>
        </row>
        <row r="277">
          <cell r="A277" t="str">
            <v>011812</v>
          </cell>
        </row>
        <row r="278">
          <cell r="A278" t="str">
            <v>011838</v>
          </cell>
        </row>
        <row r="279">
          <cell r="A279" t="str">
            <v>011839</v>
          </cell>
        </row>
        <row r="280">
          <cell r="A280" t="str">
            <v>011840</v>
          </cell>
        </row>
        <row r="281">
          <cell r="A281" t="str">
            <v>011814</v>
          </cell>
        </row>
        <row r="282">
          <cell r="A282" t="str">
            <v>011813</v>
          </cell>
        </row>
        <row r="283">
          <cell r="A283" t="str">
            <v>011808</v>
          </cell>
        </row>
        <row r="284">
          <cell r="A284" t="str">
            <v>011821</v>
          </cell>
        </row>
        <row r="285">
          <cell r="A285" t="str">
            <v>011809</v>
          </cell>
        </row>
        <row r="286">
          <cell r="A286" t="str">
            <v>011811</v>
          </cell>
        </row>
        <row r="287">
          <cell r="A287" t="str">
            <v>011822</v>
          </cell>
        </row>
        <row r="288">
          <cell r="A288" t="str">
            <v>011823</v>
          </cell>
        </row>
        <row r="289">
          <cell r="A289" t="str">
            <v>011824</v>
          </cell>
        </row>
        <row r="290">
          <cell r="A290" t="str">
            <v>743  6950</v>
          </cell>
        </row>
        <row r="291">
          <cell r="A291" t="str">
            <v>011676</v>
          </cell>
        </row>
        <row r="292">
          <cell r="A292" t="str">
            <v>011827</v>
          </cell>
        </row>
        <row r="293">
          <cell r="A293" t="str">
            <v>011829</v>
          </cell>
        </row>
        <row r="294">
          <cell r="A294" t="str">
            <v>011845</v>
          </cell>
        </row>
        <row r="295">
          <cell r="A295" t="str">
            <v>011772</v>
          </cell>
        </row>
        <row r="296">
          <cell r="A296" t="str">
            <v>011770</v>
          </cell>
        </row>
        <row r="297">
          <cell r="A297" t="str">
            <v>011857</v>
          </cell>
        </row>
        <row r="298">
          <cell r="A298" t="str">
            <v>011773</v>
          </cell>
        </row>
        <row r="299">
          <cell r="A299" t="str">
            <v>011825</v>
          </cell>
        </row>
        <row r="300">
          <cell r="A300" t="str">
            <v>011828</v>
          </cell>
        </row>
        <row r="301">
          <cell r="A301" t="str">
            <v>011830</v>
          </cell>
        </row>
        <row r="302">
          <cell r="A302" t="str">
            <v>011831</v>
          </cell>
        </row>
        <row r="303">
          <cell r="A303" t="str">
            <v>011835</v>
          </cell>
        </row>
        <row r="304">
          <cell r="A304" t="str">
            <v>011832</v>
          </cell>
        </row>
        <row r="305">
          <cell r="A305" t="str">
            <v>011833</v>
          </cell>
        </row>
        <row r="306">
          <cell r="A306" t="str">
            <v>011834</v>
          </cell>
        </row>
        <row r="307">
          <cell r="A307" t="str">
            <v>011836</v>
          </cell>
        </row>
        <row r="308">
          <cell r="A308" t="str">
            <v>011837</v>
          </cell>
        </row>
        <row r="309">
          <cell r="A309" t="str">
            <v>011841</v>
          </cell>
        </row>
        <row r="310">
          <cell r="A310" t="str">
            <v>011842</v>
          </cell>
        </row>
        <row r="311">
          <cell r="A311" t="str">
            <v>011843</v>
          </cell>
        </row>
        <row r="312">
          <cell r="A312" t="str">
            <v>011844</v>
          </cell>
        </row>
        <row r="313">
          <cell r="A313" t="str">
            <v>011846</v>
          </cell>
        </row>
        <row r="314">
          <cell r="A314" t="str">
            <v>011847</v>
          </cell>
        </row>
        <row r="315">
          <cell r="A315" t="str">
            <v>7450  9540</v>
          </cell>
        </row>
        <row r="316">
          <cell r="A316" t="str">
            <v>011849</v>
          </cell>
        </row>
        <row r="317">
          <cell r="A317" t="str">
            <v>011768</v>
          </cell>
        </row>
        <row r="318">
          <cell r="A318" t="str">
            <v>011769</v>
          </cell>
        </row>
        <row r="319">
          <cell r="A319" t="str">
            <v>011848</v>
          </cell>
        </row>
        <row r="320">
          <cell r="A320" t="str">
            <v>011851</v>
          </cell>
        </row>
        <row r="321">
          <cell r="A321" t="str">
            <v>011850</v>
          </cell>
        </row>
        <row r="322">
          <cell r="A322" t="str">
            <v>011854</v>
          </cell>
        </row>
        <row r="323">
          <cell r="A323" t="str">
            <v>011863</v>
          </cell>
        </row>
        <row r="324">
          <cell r="A324" t="str">
            <v>011852</v>
          </cell>
        </row>
        <row r="325">
          <cell r="A325" t="str">
            <v>011853</v>
          </cell>
        </row>
        <row r="326">
          <cell r="A326" t="str">
            <v>011855</v>
          </cell>
        </row>
        <row r="327">
          <cell r="A327" t="str">
            <v>011856</v>
          </cell>
        </row>
        <row r="328">
          <cell r="A328" t="str">
            <v>011858</v>
          </cell>
        </row>
        <row r="329">
          <cell r="A329" t="str">
            <v>011859</v>
          </cell>
        </row>
        <row r="330">
          <cell r="A330" t="str">
            <v>011860</v>
          </cell>
        </row>
        <row r="331">
          <cell r="A331" t="str">
            <v>011861</v>
          </cell>
        </row>
        <row r="332">
          <cell r="A332" t="str">
            <v>011864</v>
          </cell>
        </row>
        <row r="333">
          <cell r="A333" t="str">
            <v>011879</v>
          </cell>
        </row>
        <row r="334">
          <cell r="A334" t="str">
            <v>011880</v>
          </cell>
        </row>
        <row r="335">
          <cell r="A335" t="str">
            <v>7450  9643</v>
          </cell>
        </row>
        <row r="336">
          <cell r="A336" t="str">
            <v>011865</v>
          </cell>
        </row>
        <row r="337">
          <cell r="A337" t="str">
            <v>011748</v>
          </cell>
        </row>
        <row r="338">
          <cell r="A338" t="str">
            <v>011747</v>
          </cell>
        </row>
        <row r="339">
          <cell r="A339" t="str">
            <v>011749</v>
          </cell>
        </row>
        <row r="340">
          <cell r="A340" t="str">
            <v>011866</v>
          </cell>
        </row>
        <row r="341">
          <cell r="A341" t="str">
            <v>011878</v>
          </cell>
        </row>
        <row r="342">
          <cell r="A342" t="str">
            <v>011868</v>
          </cell>
        </row>
        <row r="343">
          <cell r="A343" t="str">
            <v>011867</v>
          </cell>
        </row>
        <row r="344">
          <cell r="A344" t="str">
            <v>011876</v>
          </cell>
        </row>
        <row r="345">
          <cell r="A345" t="str">
            <v>011869</v>
          </cell>
        </row>
        <row r="346">
          <cell r="A346" t="str">
            <v>011870</v>
          </cell>
        </row>
        <row r="347">
          <cell r="A347" t="str">
            <v>011871</v>
          </cell>
        </row>
        <row r="348">
          <cell r="A348" t="str">
            <v>011872</v>
          </cell>
        </row>
        <row r="349">
          <cell r="A349" t="str">
            <v>011873</v>
          </cell>
        </row>
        <row r="350">
          <cell r="A350" t="str">
            <v>011877</v>
          </cell>
        </row>
        <row r="351">
          <cell r="A351" t="str">
            <v>7450  9691</v>
          </cell>
        </row>
        <row r="352">
          <cell r="A352" t="str">
            <v>011888</v>
          </cell>
        </row>
        <row r="353">
          <cell r="A353" t="str">
            <v>011916</v>
          </cell>
        </row>
        <row r="354">
          <cell r="A354" t="str">
            <v>011874</v>
          </cell>
        </row>
        <row r="355">
          <cell r="A355" t="str">
            <v>011875</v>
          </cell>
        </row>
        <row r="356">
          <cell r="A356" t="str">
            <v>011881</v>
          </cell>
        </row>
        <row r="357">
          <cell r="A357" t="str">
            <v>011882</v>
          </cell>
        </row>
        <row r="358">
          <cell r="A358" t="str">
            <v>011883</v>
          </cell>
        </row>
        <row r="359">
          <cell r="A359" t="str">
            <v>011884</v>
          </cell>
        </row>
        <row r="360">
          <cell r="A360" t="str">
            <v>011885</v>
          </cell>
        </row>
        <row r="361">
          <cell r="A361" t="str">
            <v>011886</v>
          </cell>
        </row>
        <row r="362">
          <cell r="A362" t="str">
            <v>011887</v>
          </cell>
        </row>
        <row r="363">
          <cell r="A363" t="str">
            <v>011889</v>
          </cell>
        </row>
        <row r="364">
          <cell r="A364" t="str">
            <v>011890</v>
          </cell>
        </row>
        <row r="365">
          <cell r="A365" t="str">
            <v>011904</v>
          </cell>
        </row>
        <row r="366">
          <cell r="A366" t="str">
            <v>011764</v>
          </cell>
        </row>
        <row r="367">
          <cell r="A367" t="str">
            <v>011947</v>
          </cell>
        </row>
        <row r="368">
          <cell r="A368" t="str">
            <v>011763</v>
          </cell>
        </row>
        <row r="369">
          <cell r="A369" t="str">
            <v>011905</v>
          </cell>
        </row>
        <row r="370">
          <cell r="A370" t="str">
            <v>011891</v>
          </cell>
        </row>
        <row r="371">
          <cell r="A371" t="str">
            <v>011892</v>
          </cell>
        </row>
        <row r="372">
          <cell r="A372" t="str">
            <v>011893</v>
          </cell>
        </row>
        <row r="373">
          <cell r="A373" t="str">
            <v>011895</v>
          </cell>
        </row>
        <row r="374">
          <cell r="A374" t="str">
            <v>011898</v>
          </cell>
        </row>
        <row r="375">
          <cell r="A375" t="str">
            <v>011899</v>
          </cell>
        </row>
        <row r="376">
          <cell r="A376" t="str">
            <v>011894</v>
          </cell>
        </row>
        <row r="377">
          <cell r="A377" t="str">
            <v>011767</v>
          </cell>
        </row>
        <row r="378">
          <cell r="A378" t="str">
            <v>011910</v>
          </cell>
        </row>
        <row r="379">
          <cell r="A379" t="str">
            <v>011896</v>
          </cell>
        </row>
        <row r="380">
          <cell r="A380" t="str">
            <v>011897</v>
          </cell>
        </row>
        <row r="381">
          <cell r="A381" t="str">
            <v>011901</v>
          </cell>
        </row>
        <row r="382">
          <cell r="A382" t="str">
            <v>011902</v>
          </cell>
        </row>
        <row r="383">
          <cell r="A383" t="str">
            <v>011903</v>
          </cell>
        </row>
        <row r="384">
          <cell r="A384" t="str">
            <v>011906</v>
          </cell>
        </row>
        <row r="385">
          <cell r="A385" t="str">
            <v>011908</v>
          </cell>
        </row>
        <row r="386">
          <cell r="A386" t="str">
            <v>011909</v>
          </cell>
        </row>
        <row r="387">
          <cell r="A387" t="str">
            <v>011911</v>
          </cell>
        </row>
        <row r="388">
          <cell r="A388" t="str">
            <v>011912</v>
          </cell>
        </row>
        <row r="389">
          <cell r="A389" t="str">
            <v>011913</v>
          </cell>
        </row>
        <row r="390">
          <cell r="A390" t="str">
            <v>011914</v>
          </cell>
        </row>
        <row r="391">
          <cell r="A391" t="str">
            <v>7450  9551</v>
          </cell>
        </row>
        <row r="392">
          <cell r="A392" t="str">
            <v>011915</v>
          </cell>
        </row>
        <row r="393">
          <cell r="A393" t="str">
            <v>011907</v>
          </cell>
        </row>
        <row r="394">
          <cell r="A394" t="str">
            <v>011762</v>
          </cell>
        </row>
        <row r="395">
          <cell r="A395" t="str">
            <v>011765</v>
          </cell>
        </row>
        <row r="396">
          <cell r="A396" t="str">
            <v>011766</v>
          </cell>
        </row>
        <row r="397">
          <cell r="A397" t="str">
            <v>011920</v>
          </cell>
        </row>
        <row r="398">
          <cell r="A398" t="str">
            <v>011917</v>
          </cell>
        </row>
        <row r="399">
          <cell r="A399" t="str">
            <v>011918</v>
          </cell>
        </row>
        <row r="400">
          <cell r="A400" t="str">
            <v>011919</v>
          </cell>
        </row>
        <row r="401">
          <cell r="A401" t="str">
            <v>011921</v>
          </cell>
        </row>
        <row r="402">
          <cell r="A402" t="str">
            <v>011922</v>
          </cell>
        </row>
        <row r="403">
          <cell r="A403" t="str">
            <v>011923</v>
          </cell>
        </row>
        <row r="404">
          <cell r="A404" t="str">
            <v>011924</v>
          </cell>
        </row>
        <row r="405">
          <cell r="A405" t="str">
            <v>7450  9864</v>
          </cell>
        </row>
        <row r="406">
          <cell r="A406" t="str">
            <v>011926</v>
          </cell>
        </row>
        <row r="407">
          <cell r="A407" t="str">
            <v>011759</v>
          </cell>
        </row>
        <row r="408">
          <cell r="A408" t="str">
            <v>011760</v>
          </cell>
        </row>
        <row r="409">
          <cell r="A409" t="str">
            <v>011761</v>
          </cell>
        </row>
        <row r="410">
          <cell r="A410" t="str">
            <v>011927</v>
          </cell>
        </row>
        <row r="411">
          <cell r="A411" t="str">
            <v>011928</v>
          </cell>
        </row>
        <row r="412">
          <cell r="A412" t="str">
            <v>011925</v>
          </cell>
        </row>
        <row r="413">
          <cell r="A413" t="str">
            <v>011931</v>
          </cell>
        </row>
        <row r="414">
          <cell r="A414" t="str">
            <v>011929</v>
          </cell>
        </row>
        <row r="415">
          <cell r="A415" t="str">
            <v>011930</v>
          </cell>
        </row>
        <row r="416">
          <cell r="A416" t="str">
            <v>011932</v>
          </cell>
        </row>
        <row r="417">
          <cell r="A417" t="str">
            <v>011933</v>
          </cell>
        </row>
        <row r="418">
          <cell r="A418" t="str">
            <v>011934</v>
          </cell>
        </row>
        <row r="419">
          <cell r="A419" t="str">
            <v>011935</v>
          </cell>
        </row>
        <row r="420">
          <cell r="A420" t="str">
            <v>011936</v>
          </cell>
        </row>
        <row r="421">
          <cell r="A421" t="str">
            <v>011937</v>
          </cell>
        </row>
        <row r="422">
          <cell r="A422" t="str">
            <v>011938</v>
          </cell>
        </row>
        <row r="423">
          <cell r="A423" t="str">
            <v>011939</v>
          </cell>
        </row>
        <row r="424">
          <cell r="A424" t="str">
            <v>011940</v>
          </cell>
        </row>
        <row r="425">
          <cell r="A425" t="str">
            <v>7450  9912</v>
          </cell>
        </row>
        <row r="426">
          <cell r="A426" t="str">
            <v>011750</v>
          </cell>
        </row>
        <row r="427">
          <cell r="A427" t="str">
            <v>011751</v>
          </cell>
        </row>
        <row r="428">
          <cell r="A428" t="str">
            <v>011959</v>
          </cell>
        </row>
        <row r="429">
          <cell r="A429" t="str">
            <v>011941</v>
          </cell>
        </row>
        <row r="430">
          <cell r="A430" t="str">
            <v>011942</v>
          </cell>
        </row>
        <row r="431">
          <cell r="A431" t="str">
            <v>011945</v>
          </cell>
        </row>
        <row r="432">
          <cell r="A432" t="str">
            <v>011943</v>
          </cell>
        </row>
        <row r="433">
          <cell r="A433" t="str">
            <v>011944</v>
          </cell>
        </row>
        <row r="434">
          <cell r="A434" t="str">
            <v>011946</v>
          </cell>
        </row>
        <row r="435">
          <cell r="A435" t="str">
            <v>011960</v>
          </cell>
        </row>
        <row r="436">
          <cell r="A436" t="str">
            <v>7450  9993</v>
          </cell>
        </row>
        <row r="437">
          <cell r="A437" t="str">
            <v>011958</v>
          </cell>
        </row>
        <row r="438">
          <cell r="A438" t="str">
            <v>011758</v>
          </cell>
        </row>
        <row r="439">
          <cell r="A439" t="str">
            <v>011757</v>
          </cell>
        </row>
        <row r="440">
          <cell r="A440" t="str">
            <v>011949</v>
          </cell>
        </row>
        <row r="441">
          <cell r="A441" t="str">
            <v>011948</v>
          </cell>
        </row>
        <row r="442">
          <cell r="A442" t="str">
            <v>011950</v>
          </cell>
        </row>
        <row r="443">
          <cell r="A443" t="str">
            <v>011951</v>
          </cell>
        </row>
        <row r="444">
          <cell r="A444" t="str">
            <v>011952</v>
          </cell>
        </row>
        <row r="445">
          <cell r="A445" t="str">
            <v>011953</v>
          </cell>
        </row>
        <row r="446">
          <cell r="A446" t="str">
            <v>011963</v>
          </cell>
        </row>
        <row r="447">
          <cell r="A447" t="str">
            <v>7451  0063</v>
          </cell>
        </row>
        <row r="448">
          <cell r="A448" t="str">
            <v>011753</v>
          </cell>
        </row>
        <row r="449">
          <cell r="A449" t="str">
            <v>011754</v>
          </cell>
        </row>
        <row r="450">
          <cell r="A450" t="str">
            <v>011755</v>
          </cell>
        </row>
        <row r="451">
          <cell r="A451" t="str">
            <v>011954</v>
          </cell>
        </row>
        <row r="452">
          <cell r="A452" t="str">
            <v>011957</v>
          </cell>
        </row>
        <row r="453">
          <cell r="A453" t="str">
            <v>011955</v>
          </cell>
        </row>
        <row r="454">
          <cell r="A454" t="str">
            <v>011752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A3" t="str">
            <v>V?n ??n/
AWB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4">
          <cell r="B4" t="str">
            <v>2025-09-01</v>
          </cell>
          <cell r="C4">
            <v>1</v>
          </cell>
          <cell r="D4">
            <v>19.75</v>
          </cell>
        </row>
        <row r="5">
          <cell r="B5" t="str">
            <v>2025-09-02</v>
          </cell>
          <cell r="C5">
            <v>2</v>
          </cell>
          <cell r="D5">
            <v>19.75</v>
          </cell>
        </row>
        <row r="6">
          <cell r="B6" t="str">
            <v>2025-09-03</v>
          </cell>
          <cell r="C6">
            <v>3</v>
          </cell>
          <cell r="D6">
            <v>19.79</v>
          </cell>
        </row>
        <row r="7">
          <cell r="B7" t="str">
            <v>2025-09-04</v>
          </cell>
          <cell r="C7">
            <v>4</v>
          </cell>
          <cell r="D7">
            <v>19.739999999999998</v>
          </cell>
        </row>
        <row r="8">
          <cell r="B8" t="str">
            <v>2025-09-05</v>
          </cell>
          <cell r="C8">
            <v>5</v>
          </cell>
          <cell r="D8">
            <v>19.760000000000002</v>
          </cell>
        </row>
        <row r="9">
          <cell r="B9" t="str">
            <v>2025-09-06</v>
          </cell>
          <cell r="C9">
            <v>6</v>
          </cell>
          <cell r="D9">
            <v>19.760000000000002</v>
          </cell>
        </row>
        <row r="10">
          <cell r="B10" t="str">
            <v>2025-09-07</v>
          </cell>
          <cell r="C10">
            <v>7</v>
          </cell>
          <cell r="D10">
            <v>19.760000000000002</v>
          </cell>
        </row>
        <row r="11">
          <cell r="B11" t="str">
            <v>2025-09-08</v>
          </cell>
          <cell r="C11">
            <v>8</v>
          </cell>
          <cell r="D11">
            <v>19.760000000000002</v>
          </cell>
        </row>
        <row r="12">
          <cell r="B12" t="str">
            <v>2025-09-09</v>
          </cell>
          <cell r="C12">
            <v>9</v>
          </cell>
          <cell r="D12">
            <v>19.82</v>
          </cell>
        </row>
        <row r="13">
          <cell r="B13" t="str">
            <v>2025-09-10</v>
          </cell>
          <cell r="C13">
            <v>10</v>
          </cell>
          <cell r="D13">
            <v>19.809999999999999</v>
          </cell>
        </row>
        <row r="14">
          <cell r="B14" t="str">
            <v>2025-09-11</v>
          </cell>
          <cell r="C14">
            <v>11</v>
          </cell>
          <cell r="D14">
            <v>19.78</v>
          </cell>
        </row>
        <row r="15">
          <cell r="B15" t="str">
            <v>2025-09-12</v>
          </cell>
          <cell r="C15">
            <v>12</v>
          </cell>
          <cell r="D15">
            <v>19.78</v>
          </cell>
        </row>
        <row r="16">
          <cell r="B16" t="str">
            <v>2025-09-13</v>
          </cell>
          <cell r="C16">
            <v>13</v>
          </cell>
          <cell r="D16">
            <v>19.8</v>
          </cell>
        </row>
        <row r="17">
          <cell r="B17" t="str">
            <v>2025-09-14</v>
          </cell>
          <cell r="C17">
            <v>14</v>
          </cell>
          <cell r="D17">
            <v>19.8</v>
          </cell>
        </row>
        <row r="18">
          <cell r="B18" t="str">
            <v>2025-09-15</v>
          </cell>
          <cell r="C18">
            <v>15</v>
          </cell>
          <cell r="D18">
            <v>19.77</v>
          </cell>
        </row>
        <row r="19">
          <cell r="B19" t="str">
            <v>2025-09-16</v>
          </cell>
          <cell r="C19">
            <v>16</v>
          </cell>
          <cell r="D19">
            <v>19.850000000000001</v>
          </cell>
        </row>
        <row r="20">
          <cell r="B20" t="str">
            <v>2025-09-17</v>
          </cell>
          <cell r="C20">
            <v>17</v>
          </cell>
          <cell r="D20">
            <v>19.920000000000002</v>
          </cell>
        </row>
        <row r="21">
          <cell r="B21" t="str">
            <v>2025-09-18</v>
          </cell>
          <cell r="C21">
            <v>18</v>
          </cell>
          <cell r="D21">
            <v>19.88</v>
          </cell>
        </row>
        <row r="22">
          <cell r="B22" t="str">
            <v>2025-09-19</v>
          </cell>
          <cell r="C22">
            <v>19</v>
          </cell>
          <cell r="D22">
            <v>19.71</v>
          </cell>
        </row>
        <row r="23">
          <cell r="B23" t="str">
            <v>2025-09-20</v>
          </cell>
          <cell r="C23">
            <v>20</v>
          </cell>
          <cell r="D23">
            <v>19.71</v>
          </cell>
        </row>
        <row r="24">
          <cell r="B24" t="str">
            <v>2025-09-21</v>
          </cell>
          <cell r="C24">
            <v>21</v>
          </cell>
          <cell r="D24">
            <v>19.71</v>
          </cell>
        </row>
        <row r="25">
          <cell r="B25" t="str">
            <v>2025-09-22</v>
          </cell>
          <cell r="C25">
            <v>22</v>
          </cell>
          <cell r="D25">
            <v>19.68</v>
          </cell>
        </row>
        <row r="26">
          <cell r="B26" t="str">
            <v>2025-09-23</v>
          </cell>
          <cell r="C26">
            <v>23</v>
          </cell>
          <cell r="D26">
            <v>19.75</v>
          </cell>
        </row>
        <row r="27">
          <cell r="B27" t="str">
            <v>2025-09-24</v>
          </cell>
          <cell r="C27">
            <v>24</v>
          </cell>
          <cell r="D27">
            <v>19.760000000000002</v>
          </cell>
        </row>
        <row r="28">
          <cell r="B28" t="str">
            <v>2025-09-25</v>
          </cell>
          <cell r="C28">
            <v>25</v>
          </cell>
          <cell r="D28">
            <v>19.670000000000002</v>
          </cell>
        </row>
        <row r="29">
          <cell r="B29" t="str">
            <v>2025-09-26</v>
          </cell>
          <cell r="C29">
            <v>26</v>
          </cell>
          <cell r="D29">
            <v>19.52</v>
          </cell>
        </row>
        <row r="30">
          <cell r="B30" t="str">
            <v>2025-09-27</v>
          </cell>
          <cell r="C30">
            <v>27</v>
          </cell>
          <cell r="D30">
            <v>19.52</v>
          </cell>
        </row>
        <row r="31">
          <cell r="B31" t="str">
            <v>2025-09-28</v>
          </cell>
          <cell r="C31">
            <v>28</v>
          </cell>
          <cell r="D31">
            <v>19.52</v>
          </cell>
        </row>
        <row r="32">
          <cell r="B32" t="str">
            <v>2025-09-29</v>
          </cell>
          <cell r="C32">
            <v>29</v>
          </cell>
          <cell r="D32">
            <v>19.579999999999998</v>
          </cell>
        </row>
        <row r="33">
          <cell r="B33" t="str">
            <v>2025-09-30</v>
          </cell>
          <cell r="C33">
            <v>30</v>
          </cell>
          <cell r="D33">
            <v>19.649999999999999</v>
          </cell>
        </row>
        <row r="34">
          <cell r="B34" t="str">
            <v>2025-10-01</v>
          </cell>
          <cell r="C34">
            <v>1</v>
          </cell>
          <cell r="D34">
            <v>19.62</v>
          </cell>
        </row>
        <row r="35">
          <cell r="B35" t="str">
            <v>2025-10-02</v>
          </cell>
          <cell r="C35">
            <v>2</v>
          </cell>
          <cell r="D35">
            <v>19.600000000000001</v>
          </cell>
        </row>
        <row r="36">
          <cell r="B36" t="str">
            <v>2025-10-03</v>
          </cell>
          <cell r="C36">
            <v>3</v>
          </cell>
          <cell r="D36">
            <v>19.559999999999999</v>
          </cell>
        </row>
        <row r="37">
          <cell r="B37" t="str">
            <v>2025-10-04</v>
          </cell>
          <cell r="C37">
            <v>4</v>
          </cell>
          <cell r="D37">
            <v>19.559999999999999</v>
          </cell>
        </row>
        <row r="38">
          <cell r="B38" t="str">
            <v>2025-10-05</v>
          </cell>
          <cell r="C38">
            <v>5</v>
          </cell>
          <cell r="D38">
            <v>19.559999999999999</v>
          </cell>
        </row>
        <row r="39">
          <cell r="B39" t="str">
            <v>2025-10-06</v>
          </cell>
          <cell r="C39">
            <v>6</v>
          </cell>
          <cell r="D39">
            <v>19.489999999999998</v>
          </cell>
        </row>
        <row r="40">
          <cell r="B40" t="str">
            <v>2025-10-07</v>
          </cell>
          <cell r="C40">
            <v>7</v>
          </cell>
          <cell r="D40">
            <v>19.45</v>
          </cell>
        </row>
        <row r="41">
          <cell r="B41" t="str">
            <v>2025-10-08</v>
          </cell>
          <cell r="C41">
            <v>8</v>
          </cell>
          <cell r="D41">
            <v>19.38</v>
          </cell>
        </row>
        <row r="42">
          <cell r="B42" t="str">
            <v>2025-10-09</v>
          </cell>
          <cell r="C42">
            <v>9</v>
          </cell>
          <cell r="D42">
            <v>19.350000000000001</v>
          </cell>
        </row>
        <row r="43">
          <cell r="B43" t="str">
            <v>2025-10-10</v>
          </cell>
          <cell r="C43">
            <v>10</v>
          </cell>
          <cell r="D43">
            <v>19.309999999999999</v>
          </cell>
        </row>
        <row r="44">
          <cell r="B44" t="str">
            <v>2025-10-11</v>
          </cell>
          <cell r="C44">
            <v>11</v>
          </cell>
          <cell r="D44">
            <v>19.309999999999999</v>
          </cell>
        </row>
        <row r="45">
          <cell r="B45" t="str">
            <v>2025-10-12</v>
          </cell>
          <cell r="C45">
            <v>12</v>
          </cell>
          <cell r="D45">
            <v>19.309999999999999</v>
          </cell>
        </row>
        <row r="46">
          <cell r="B46" t="str">
            <v>2025-10-13</v>
          </cell>
          <cell r="C46">
            <v>13</v>
          </cell>
          <cell r="D46">
            <v>19.23</v>
          </cell>
        </row>
        <row r="47">
          <cell r="B47" t="str">
            <v>2025-10-14</v>
          </cell>
          <cell r="C47">
            <v>14</v>
          </cell>
          <cell r="D47">
            <v>19.25</v>
          </cell>
        </row>
        <row r="48">
          <cell r="B48" t="str">
            <v>2025-10-15</v>
          </cell>
          <cell r="C48">
            <v>15</v>
          </cell>
          <cell r="D48">
            <v>19.32</v>
          </cell>
        </row>
        <row r="49">
          <cell r="B49" t="str">
            <v>2025-10-16</v>
          </cell>
          <cell r="C49">
            <v>16</v>
          </cell>
          <cell r="D49">
            <v>19.329999999999998</v>
          </cell>
        </row>
        <row r="50">
          <cell r="B50" t="str">
            <v>2025-10-17</v>
          </cell>
          <cell r="C50">
            <v>17</v>
          </cell>
          <cell r="D50">
            <v>19.37</v>
          </cell>
        </row>
        <row r="51">
          <cell r="B51" t="str">
            <v>2025-10-18</v>
          </cell>
          <cell r="C51">
            <v>18</v>
          </cell>
          <cell r="D51">
            <v>19.37</v>
          </cell>
        </row>
        <row r="52">
          <cell r="B52" t="str">
            <v>2025-10-19</v>
          </cell>
          <cell r="C52">
            <v>19</v>
          </cell>
          <cell r="D52">
            <v>19.37</v>
          </cell>
        </row>
        <row r="53">
          <cell r="B53" t="str">
            <v>2025-10-20</v>
          </cell>
          <cell r="C53">
            <v>20</v>
          </cell>
          <cell r="D53">
            <v>19.3</v>
          </cell>
        </row>
        <row r="54">
          <cell r="B54" t="str">
            <v>2025-10-21</v>
          </cell>
          <cell r="C54">
            <v>21</v>
          </cell>
          <cell r="D54">
            <v>19.25</v>
          </cell>
        </row>
        <row r="55">
          <cell r="B55" t="str">
            <v>2025-10-22</v>
          </cell>
          <cell r="C55">
            <v>22</v>
          </cell>
          <cell r="D55">
            <v>19.21</v>
          </cell>
        </row>
        <row r="56">
          <cell r="B56" t="str">
            <v>2025-10-23</v>
          </cell>
          <cell r="C56">
            <v>23</v>
          </cell>
          <cell r="D56">
            <v>19.170000000000002</v>
          </cell>
        </row>
        <row r="57">
          <cell r="B57" t="str">
            <v>2025-10-24</v>
          </cell>
          <cell r="C57">
            <v>24</v>
          </cell>
          <cell r="D57">
            <v>19.059999999999999</v>
          </cell>
        </row>
        <row r="58">
          <cell r="B58" t="str">
            <v>2025-10-25</v>
          </cell>
          <cell r="C58">
            <v>25</v>
          </cell>
          <cell r="D58">
            <v>19.059999999999999</v>
          </cell>
        </row>
        <row r="59">
          <cell r="B59" t="str">
            <v>2025-10-26</v>
          </cell>
          <cell r="C59">
            <v>26</v>
          </cell>
          <cell r="D59">
            <v>19.059999999999999</v>
          </cell>
        </row>
        <row r="60">
          <cell r="B60" t="str">
            <v>2025-10-27</v>
          </cell>
          <cell r="C60">
            <v>27</v>
          </cell>
          <cell r="D60">
            <v>19.16</v>
          </cell>
        </row>
        <row r="61">
          <cell r="B61" t="str">
            <v>2025-10-28</v>
          </cell>
          <cell r="C61">
            <v>28</v>
          </cell>
          <cell r="D61">
            <v>19.079999999999998</v>
          </cell>
        </row>
        <row r="62">
          <cell r="B62" t="str">
            <v>2025-10-29</v>
          </cell>
          <cell r="C62">
            <v>29</v>
          </cell>
          <cell r="D62">
            <v>19.16</v>
          </cell>
        </row>
        <row r="63">
          <cell r="B63" t="str">
            <v>2025-10-30</v>
          </cell>
          <cell r="C63">
            <v>30</v>
          </cell>
          <cell r="D63">
            <v>19.22</v>
          </cell>
        </row>
        <row r="64">
          <cell r="B64" t="str">
            <v>2025-10-31</v>
          </cell>
          <cell r="C64">
            <v>31</v>
          </cell>
          <cell r="D64">
            <v>19.22</v>
          </cell>
        </row>
        <row r="65">
          <cell r="B65" t="str">
            <v>2025-11-01</v>
          </cell>
          <cell r="C65">
            <v>1</v>
          </cell>
          <cell r="D65">
            <v>19.22</v>
          </cell>
        </row>
        <row r="66">
          <cell r="B66" t="str">
            <v>2025-11-02</v>
          </cell>
          <cell r="C66">
            <v>2</v>
          </cell>
          <cell r="D66">
            <v>19.22</v>
          </cell>
        </row>
        <row r="67">
          <cell r="B67" t="str">
            <v>2025-11-03</v>
          </cell>
          <cell r="C67">
            <v>3</v>
          </cell>
          <cell r="D67">
            <v>19.16</v>
          </cell>
        </row>
        <row r="68">
          <cell r="B68" t="str">
            <v>2025-11-04</v>
          </cell>
          <cell r="C68">
            <v>4</v>
          </cell>
          <cell r="D68">
            <v>19.07</v>
          </cell>
        </row>
        <row r="69">
          <cell r="B69" t="str">
            <v>2025-11-05</v>
          </cell>
          <cell r="C69">
            <v>5</v>
          </cell>
          <cell r="D69">
            <v>18.940000000000001</v>
          </cell>
        </row>
        <row r="70">
          <cell r="B70" t="str">
            <v>2025-11-06</v>
          </cell>
          <cell r="C70">
            <v>6</v>
          </cell>
          <cell r="D70">
            <v>18.95</v>
          </cell>
        </row>
        <row r="71">
          <cell r="B71" t="str">
            <v>2025-11-07</v>
          </cell>
          <cell r="C71">
            <v>7</v>
          </cell>
          <cell r="D71">
            <v>18.899999999999999</v>
          </cell>
        </row>
        <row r="72">
          <cell r="B72" t="str">
            <v>2025-11-08</v>
          </cell>
          <cell r="C72">
            <v>8</v>
          </cell>
          <cell r="D72">
            <v>18.899999999999999</v>
          </cell>
        </row>
        <row r="73">
          <cell r="B73" t="str">
            <v>2025-11-09</v>
          </cell>
          <cell r="C73">
            <v>9</v>
          </cell>
          <cell r="D73">
            <v>18.899999999999999</v>
          </cell>
        </row>
        <row r="74">
          <cell r="B74" t="str">
            <v>2025-11-10</v>
          </cell>
          <cell r="C74">
            <v>10</v>
          </cell>
          <cell r="D74">
            <v>18.86</v>
          </cell>
        </row>
        <row r="75">
          <cell r="B75" t="str">
            <v>2025-11-11</v>
          </cell>
          <cell r="C75">
            <v>11</v>
          </cell>
          <cell r="D75">
            <v>18.78</v>
          </cell>
        </row>
        <row r="76">
          <cell r="B76" t="str">
            <v>2025-11-12</v>
          </cell>
          <cell r="C76">
            <v>12</v>
          </cell>
          <cell r="D76">
            <v>18.68</v>
          </cell>
        </row>
        <row r="77">
          <cell r="B77" t="str">
            <v>2025-11-13</v>
          </cell>
          <cell r="C77">
            <v>13</v>
          </cell>
          <cell r="D77">
            <v>18.690000000000001</v>
          </cell>
        </row>
        <row r="78">
          <cell r="B78" t="str">
            <v>2025-11-14</v>
          </cell>
          <cell r="C78">
            <v>14</v>
          </cell>
          <cell r="D78">
            <v>18.829999999999998</v>
          </cell>
        </row>
        <row r="79">
          <cell r="B79" t="str">
            <v>2025-11-15</v>
          </cell>
          <cell r="C79">
            <v>15</v>
          </cell>
          <cell r="D79">
            <v>18.829999999999998</v>
          </cell>
        </row>
        <row r="80">
          <cell r="B80" t="str">
            <v>2025-11-16</v>
          </cell>
          <cell r="C80">
            <v>16</v>
          </cell>
          <cell r="D80">
            <v>18.829999999999998</v>
          </cell>
        </row>
        <row r="81">
          <cell r="B81" t="str">
            <v>2025-11-17</v>
          </cell>
          <cell r="C81">
            <v>17</v>
          </cell>
          <cell r="D81">
            <v>18.87</v>
          </cell>
        </row>
        <row r="82">
          <cell r="B82" t="str">
            <v>2025-11-18</v>
          </cell>
          <cell r="C82">
            <v>18</v>
          </cell>
          <cell r="D82">
            <v>19.2</v>
          </cell>
        </row>
        <row r="83">
          <cell r="B83" t="str">
            <v>2025-11-19</v>
          </cell>
          <cell r="C83">
            <v>19</v>
          </cell>
          <cell r="D83">
            <v>18.71</v>
          </cell>
        </row>
        <row r="84">
          <cell r="B84" t="str">
            <v>2025-11-20</v>
          </cell>
          <cell r="C84">
            <v>20</v>
          </cell>
          <cell r="D84">
            <v>18.739999999999998</v>
          </cell>
        </row>
        <row r="85">
          <cell r="B85" t="str">
            <v>2025-11-21</v>
          </cell>
          <cell r="C85">
            <v>21</v>
          </cell>
          <cell r="D85">
            <v>18.670000000000002</v>
          </cell>
        </row>
        <row r="86">
          <cell r="B86" t="str">
            <v>2025-11-22</v>
          </cell>
          <cell r="C86">
            <v>22</v>
          </cell>
          <cell r="D86">
            <v>18.63</v>
          </cell>
        </row>
        <row r="87">
          <cell r="B87" t="str">
            <v>2025-11-23</v>
          </cell>
          <cell r="C87">
            <v>23</v>
          </cell>
          <cell r="D87">
            <v>18.63</v>
          </cell>
        </row>
        <row r="88">
          <cell r="B88" t="str">
            <v>2025-11-24</v>
          </cell>
          <cell r="C88">
            <v>24</v>
          </cell>
          <cell r="D88">
            <v>18.63</v>
          </cell>
        </row>
        <row r="89">
          <cell r="B89" t="str">
            <v>2025-11-25</v>
          </cell>
          <cell r="C89">
            <v>25</v>
          </cell>
          <cell r="D89">
            <v>18.670000000000002</v>
          </cell>
        </row>
        <row r="90">
          <cell r="B90" t="str">
            <v>2025-11-26</v>
          </cell>
          <cell r="C90">
            <v>26</v>
          </cell>
          <cell r="D90">
            <v>18.84</v>
          </cell>
        </row>
        <row r="91">
          <cell r="B91" t="str">
            <v>2025-11-27</v>
          </cell>
          <cell r="C91">
            <v>27</v>
          </cell>
          <cell r="D91">
            <v>18.77</v>
          </cell>
        </row>
        <row r="92">
          <cell r="B92" t="str">
            <v>2025-11-28</v>
          </cell>
          <cell r="C92">
            <v>28</v>
          </cell>
          <cell r="D92">
            <v>18.68</v>
          </cell>
        </row>
        <row r="93">
          <cell r="B93" t="str">
            <v>2025-11-29</v>
          </cell>
          <cell r="C93">
            <v>29</v>
          </cell>
          <cell r="D93">
            <v>18.68</v>
          </cell>
        </row>
        <row r="94">
          <cell r="B94" t="str">
            <v>2025-11-30</v>
          </cell>
          <cell r="C94">
            <v>30</v>
          </cell>
          <cell r="D94">
            <v>18.68</v>
          </cell>
        </row>
        <row r="95">
          <cell r="B95" t="str">
            <v>2025-12-01</v>
          </cell>
          <cell r="C95" t="str">
            <v>01</v>
          </cell>
          <cell r="D95">
            <v>18.739999999999998</v>
          </cell>
        </row>
        <row r="96">
          <cell r="B96" t="str">
            <v>2025-12-02</v>
          </cell>
          <cell r="C96" t="str">
            <v>02</v>
          </cell>
          <cell r="D96">
            <v>18.7</v>
          </cell>
        </row>
        <row r="97">
          <cell r="B97" t="str">
            <v>2025-12-03</v>
          </cell>
          <cell r="C97" t="str">
            <v>03</v>
          </cell>
          <cell r="D97">
            <v>18.739999999999998</v>
          </cell>
        </row>
        <row r="98">
          <cell r="B98" t="str">
            <v>2025-12-04</v>
          </cell>
          <cell r="C98" t="str">
            <v>04</v>
          </cell>
          <cell r="D98">
            <v>18.73</v>
          </cell>
        </row>
        <row r="99">
          <cell r="B99" t="str">
            <v>2025-12-05</v>
          </cell>
          <cell r="C99" t="str">
            <v>05</v>
          </cell>
          <cell r="D99">
            <v>18.66</v>
          </cell>
        </row>
        <row r="100">
          <cell r="B100" t="str">
            <v>2025-12-06</v>
          </cell>
          <cell r="C100" t="str">
            <v>06</v>
          </cell>
          <cell r="D100">
            <v>18.66</v>
          </cell>
        </row>
        <row r="101">
          <cell r="B101" t="str">
            <v>2025-12-07</v>
          </cell>
          <cell r="C101" t="str">
            <v>07</v>
          </cell>
          <cell r="D101">
            <v>18.66</v>
          </cell>
        </row>
        <row r="102">
          <cell r="B102" t="str">
            <v>2025-12-08</v>
          </cell>
          <cell r="C102" t="str">
            <v>08</v>
          </cell>
          <cell r="D102">
            <v>18.68</v>
          </cell>
        </row>
        <row r="103">
          <cell r="B103" t="str">
            <v>2025-12-09</v>
          </cell>
          <cell r="C103" t="str">
            <v>09</v>
          </cell>
          <cell r="D103">
            <v>18.68</v>
          </cell>
        </row>
        <row r="104">
          <cell r="B104" t="str">
            <v>2025-12-10</v>
          </cell>
          <cell r="C104" t="str">
            <v>10</v>
          </cell>
          <cell r="D104">
            <v>18.71</v>
          </cell>
        </row>
        <row r="105">
          <cell r="B105" t="str">
            <v>2025-12-11</v>
          </cell>
          <cell r="C105" t="str">
            <v>11</v>
          </cell>
          <cell r="D105">
            <v>18.63</v>
          </cell>
        </row>
        <row r="106">
          <cell r="B106" t="str">
            <v>2025-12-12</v>
          </cell>
          <cell r="C106" t="str">
            <v>12</v>
          </cell>
          <cell r="D106">
            <v>18.62</v>
          </cell>
        </row>
        <row r="107">
          <cell r="B107" t="str">
            <v>2025-12-13</v>
          </cell>
          <cell r="C107" t="str">
            <v>13</v>
          </cell>
          <cell r="D107">
            <v>18.62</v>
          </cell>
        </row>
        <row r="108">
          <cell r="B108" t="str">
            <v>2025-12-14</v>
          </cell>
          <cell r="C108" t="str">
            <v>14</v>
          </cell>
          <cell r="D108">
            <v>18.62</v>
          </cell>
        </row>
        <row r="109">
          <cell r="B109" t="str">
            <v>2025-12-15</v>
          </cell>
          <cell r="C109" t="str">
            <v>15</v>
          </cell>
          <cell r="D109">
            <v>18.59</v>
          </cell>
        </row>
        <row r="110">
          <cell r="B110" t="str">
            <v>2025-12-16</v>
          </cell>
          <cell r="C110" t="str">
            <v>16</v>
          </cell>
          <cell r="D110">
            <v>18.690000000000001</v>
          </cell>
        </row>
        <row r="111">
          <cell r="B111" t="str">
            <v>2025-12-17</v>
          </cell>
          <cell r="C111" t="str">
            <v>17</v>
          </cell>
          <cell r="D111">
            <v>18.559999999999999</v>
          </cell>
        </row>
        <row r="112">
          <cell r="B112" t="str">
            <v>2025-12-18</v>
          </cell>
          <cell r="C112" t="str">
            <v>18</v>
          </cell>
          <cell r="D112">
            <v>18.59</v>
          </cell>
        </row>
        <row r="113">
          <cell r="B113" t="str">
            <v>2025-12-19</v>
          </cell>
          <cell r="C113" t="str">
            <v>19</v>
          </cell>
          <cell r="D113">
            <v>18.600000000000001</v>
          </cell>
        </row>
        <row r="114">
          <cell r="B114" t="str">
            <v>2025-12-20</v>
          </cell>
          <cell r="C114" t="str">
            <v>20</v>
          </cell>
          <cell r="D114">
            <v>18.600000000000001</v>
          </cell>
        </row>
        <row r="115">
          <cell r="B115" t="str">
            <v>2025-12-21</v>
          </cell>
          <cell r="C115" t="str">
            <v>21</v>
          </cell>
          <cell r="D115">
            <v>18.600000000000001</v>
          </cell>
        </row>
        <row r="116">
          <cell r="B116" t="str">
            <v>2025-12-22</v>
          </cell>
          <cell r="C116" t="str">
            <v>22</v>
          </cell>
          <cell r="D116">
            <v>18.579999999999998</v>
          </cell>
        </row>
        <row r="117">
          <cell r="B117" t="str">
            <v>2025-12-23</v>
          </cell>
          <cell r="C117" t="str">
            <v>23</v>
          </cell>
          <cell r="D117">
            <v>18.5</v>
          </cell>
        </row>
        <row r="118">
          <cell r="B118" t="str">
            <v>2025-12-24</v>
          </cell>
          <cell r="C118" t="str">
            <v>24</v>
          </cell>
          <cell r="D118">
            <v>18.73</v>
          </cell>
        </row>
        <row r="119">
          <cell r="B119" t="str">
            <v>2025-12-25</v>
          </cell>
          <cell r="C119" t="str">
            <v>25</v>
          </cell>
          <cell r="D119">
            <v>18.95</v>
          </cell>
        </row>
        <row r="120">
          <cell r="B120" t="str">
            <v>2025-12-26</v>
          </cell>
          <cell r="C120" t="str">
            <v>26</v>
          </cell>
          <cell r="D120">
            <v>18.86</v>
          </cell>
        </row>
        <row r="121">
          <cell r="B121" t="str">
            <v>2025-12-27</v>
          </cell>
          <cell r="C121" t="str">
            <v>27</v>
          </cell>
          <cell r="D121">
            <v>18.86</v>
          </cell>
        </row>
        <row r="122">
          <cell r="B122" t="str">
            <v>2025-12-28</v>
          </cell>
          <cell r="C122" t="str">
            <v>28</v>
          </cell>
          <cell r="D122">
            <v>18.86</v>
          </cell>
        </row>
        <row r="123">
          <cell r="B123" t="str">
            <v>2025-12-29</v>
          </cell>
          <cell r="C123" t="str">
            <v>29</v>
          </cell>
          <cell r="D123">
            <v>19.100000000000001</v>
          </cell>
        </row>
        <row r="124">
          <cell r="B124" t="str">
            <v>2025-12-30</v>
          </cell>
          <cell r="C124" t="str">
            <v>30</v>
          </cell>
          <cell r="D124">
            <v>18.78</v>
          </cell>
        </row>
        <row r="125">
          <cell r="B125" t="str">
            <v>2025-12-31</v>
          </cell>
          <cell r="C125" t="str">
            <v>31</v>
          </cell>
          <cell r="D125">
            <v>18.97</v>
          </cell>
        </row>
        <row r="126">
          <cell r="B126" t="str">
            <v>2026-01-01</v>
          </cell>
          <cell r="C126" t="str">
            <v>01</v>
          </cell>
          <cell r="D126">
            <v>18.97</v>
          </cell>
        </row>
        <row r="127">
          <cell r="B127" t="str">
            <v>2026-01-02</v>
          </cell>
          <cell r="C127" t="str">
            <v>02</v>
          </cell>
          <cell r="D127">
            <v>18.97</v>
          </cell>
        </row>
        <row r="128">
          <cell r="B128" t="str">
            <v>2026-01-03</v>
          </cell>
          <cell r="C128" t="str">
            <v>03</v>
          </cell>
          <cell r="D128">
            <v>18.97</v>
          </cell>
        </row>
        <row r="129">
          <cell r="B129" t="str">
            <v>2026-01-04</v>
          </cell>
          <cell r="C129" t="str">
            <v>04</v>
          </cell>
          <cell r="D129">
            <v>18.97</v>
          </cell>
        </row>
        <row r="130">
          <cell r="B130" t="str">
            <v>2026-01-05</v>
          </cell>
          <cell r="C130" t="str">
            <v>05</v>
          </cell>
          <cell r="D130">
            <v>18.95</v>
          </cell>
        </row>
        <row r="131">
          <cell r="B131" t="str">
            <v>2026-01-06</v>
          </cell>
          <cell r="C131" t="str">
            <v>06</v>
          </cell>
          <cell r="D131">
            <v>18.91</v>
          </cell>
        </row>
        <row r="132">
          <cell r="B132" t="str">
            <v>2026-01-07</v>
          </cell>
          <cell r="C132" t="str">
            <v>07</v>
          </cell>
          <cell r="D132">
            <v>18.91</v>
          </cell>
        </row>
        <row r="133">
          <cell r="B133" t="str">
            <v>2026-01-08</v>
          </cell>
          <cell r="C133" t="str">
            <v>08</v>
          </cell>
          <cell r="D133">
            <v>18.920000000000002</v>
          </cell>
        </row>
        <row r="134">
          <cell r="B134" t="str">
            <v>2026-01-09</v>
          </cell>
          <cell r="C134" t="str">
            <v>09</v>
          </cell>
          <cell r="D134">
            <v>18.84</v>
          </cell>
        </row>
        <row r="135">
          <cell r="B135" t="str">
            <v>2026-01-10</v>
          </cell>
          <cell r="C135" t="str">
            <v>10</v>
          </cell>
          <cell r="D135">
            <v>18.8</v>
          </cell>
        </row>
        <row r="136">
          <cell r="B136" t="str">
            <v>2026-01-11</v>
          </cell>
          <cell r="C136" t="str">
            <v>11</v>
          </cell>
          <cell r="D136">
            <v>18.8</v>
          </cell>
        </row>
        <row r="137">
          <cell r="B137" t="str">
            <v>2026-01-12</v>
          </cell>
          <cell r="C137" t="str">
            <v>12</v>
          </cell>
          <cell r="D137">
            <v>18.78</v>
          </cell>
        </row>
        <row r="138">
          <cell r="B138" t="str">
            <v>2026-01-13</v>
          </cell>
          <cell r="C138" t="str">
            <v>13</v>
          </cell>
          <cell r="D138">
            <v>18.600000000000001</v>
          </cell>
        </row>
        <row r="139">
          <cell r="B139" t="str">
            <v>2026-01-14</v>
          </cell>
          <cell r="C139" t="str">
            <v>14</v>
          </cell>
          <cell r="D139">
            <v>18.559999999999999</v>
          </cell>
        </row>
        <row r="140">
          <cell r="B140" t="str">
            <v>2026-01-15</v>
          </cell>
          <cell r="C140" t="str">
            <v>15</v>
          </cell>
          <cell r="D140">
            <v>18.68</v>
          </cell>
        </row>
        <row r="141">
          <cell r="B141" t="str">
            <v>2026-01-16</v>
          </cell>
          <cell r="C141" t="str">
            <v>16</v>
          </cell>
          <cell r="D141">
            <v>18.59</v>
          </cell>
        </row>
        <row r="142">
          <cell r="B142" t="str">
            <v>2026-01-17</v>
          </cell>
          <cell r="C142" t="str">
            <v>17</v>
          </cell>
          <cell r="D142">
            <v>18.59</v>
          </cell>
        </row>
        <row r="143">
          <cell r="B143" t="str">
            <v>2026-01-18</v>
          </cell>
          <cell r="C143" t="str">
            <v>18</v>
          </cell>
          <cell r="D143">
            <v>18.59</v>
          </cell>
        </row>
        <row r="144">
          <cell r="B144" t="str">
            <v>2026-01-19</v>
          </cell>
          <cell r="C144" t="str">
            <v>19</v>
          </cell>
          <cell r="D144">
            <v>18.600000000000001</v>
          </cell>
        </row>
        <row r="145">
          <cell r="B145" t="str">
            <v>2026-01-20</v>
          </cell>
          <cell r="C145" t="str">
            <v>20</v>
          </cell>
          <cell r="D145">
            <v>18.52</v>
          </cell>
        </row>
        <row r="146">
          <cell r="B146" t="str">
            <v>2026-01-21</v>
          </cell>
          <cell r="C146" t="str">
            <v>21</v>
          </cell>
          <cell r="D146">
            <v>18.5</v>
          </cell>
        </row>
        <row r="147">
          <cell r="B147" t="str">
            <v>2026-01-22</v>
          </cell>
          <cell r="C147" t="str">
            <v>22</v>
          </cell>
          <cell r="D147">
            <v>18.68</v>
          </cell>
        </row>
        <row r="148">
          <cell r="B148" t="str">
            <v>2026-01-23</v>
          </cell>
          <cell r="C148" t="str">
            <v>23</v>
          </cell>
          <cell r="D148">
            <v>18.670000000000002</v>
          </cell>
        </row>
        <row r="149">
          <cell r="B149" t="str">
            <v>2026-01-24</v>
          </cell>
          <cell r="C149" t="str">
            <v>24</v>
          </cell>
          <cell r="D149">
            <v>18.64</v>
          </cell>
        </row>
        <row r="150">
          <cell r="B150" t="str">
            <v>2026-01-25</v>
          </cell>
          <cell r="C150" t="str">
            <v>25</v>
          </cell>
          <cell r="D150">
            <v>18.64</v>
          </cell>
        </row>
        <row r="151">
          <cell r="B151" t="str">
            <v>2026-01-26</v>
          </cell>
          <cell r="C151" t="str">
            <v>26</v>
          </cell>
          <cell r="D151">
            <v>18.940000000000001</v>
          </cell>
        </row>
        <row r="152">
          <cell r="B152" t="str">
            <v>2026-01-27</v>
          </cell>
          <cell r="C152" t="str">
            <v>27</v>
          </cell>
          <cell r="D152">
            <v>18.829999999999998</v>
          </cell>
        </row>
        <row r="153">
          <cell r="B153" t="str">
            <v>2026-01-28</v>
          </cell>
          <cell r="C153" t="str">
            <v>28</v>
          </cell>
          <cell r="D153">
            <v>19.079999999999998</v>
          </cell>
        </row>
        <row r="154">
          <cell r="B154" t="str">
            <v>2026-01-29</v>
          </cell>
          <cell r="C154" t="str">
            <v>29</v>
          </cell>
          <cell r="D154">
            <v>19.02</v>
          </cell>
        </row>
        <row r="155">
          <cell r="B155" t="str">
            <v>2026-01-30</v>
          </cell>
          <cell r="C155" t="str">
            <v>30</v>
          </cell>
          <cell r="D155">
            <v>18.7</v>
          </cell>
        </row>
        <row r="156">
          <cell r="B156" t="str">
            <v>2026-01-31</v>
          </cell>
          <cell r="C156" t="str">
            <v>31</v>
          </cell>
          <cell r="D156">
            <v>18.7</v>
          </cell>
        </row>
        <row r="157">
          <cell r="B157" t="str">
            <v>2026-02-01</v>
          </cell>
          <cell r="C157" t="str">
            <v>01</v>
          </cell>
          <cell r="D157">
            <v>18.7</v>
          </cell>
        </row>
        <row r="158">
          <cell r="B158" t="str">
            <v>2026-02-02</v>
          </cell>
          <cell r="C158" t="str">
            <v>02</v>
          </cell>
          <cell r="D158">
            <v>18.55</v>
          </cell>
        </row>
        <row r="159">
          <cell r="B159" t="str">
            <v>2026-02-03</v>
          </cell>
          <cell r="C159" t="str">
            <v>03</v>
          </cell>
          <cell r="D159">
            <v>18.71</v>
          </cell>
        </row>
        <row r="160">
          <cell r="B160" t="str">
            <v>2026-02-04</v>
          </cell>
          <cell r="C160" t="str">
            <v>04</v>
          </cell>
          <cell r="D160">
            <v>18.670000000000002</v>
          </cell>
        </row>
        <row r="161">
          <cell r="B161" t="str">
            <v>2026-02-05</v>
          </cell>
          <cell r="C161" t="str">
            <v>05</v>
          </cell>
          <cell r="D161">
            <v>18.489999999999998</v>
          </cell>
        </row>
        <row r="162">
          <cell r="B162" t="str">
            <v>2026-02-06</v>
          </cell>
          <cell r="C162" t="str">
            <v>06</v>
          </cell>
          <cell r="D162">
            <v>18.38</v>
          </cell>
        </row>
        <row r="163">
          <cell r="B163" t="str">
            <v>2026-02-07</v>
          </cell>
          <cell r="C163" t="str">
            <v>07</v>
          </cell>
          <cell r="D163">
            <v>18.38</v>
          </cell>
        </row>
        <row r="164">
          <cell r="B164" t="str">
            <v>2026-02-08</v>
          </cell>
          <cell r="C164" t="str">
            <v>08</v>
          </cell>
          <cell r="D164">
            <v>18.38</v>
          </cell>
        </row>
        <row r="165">
          <cell r="B165" t="str">
            <v>2026-02-09</v>
          </cell>
          <cell r="C165" t="str">
            <v>09</v>
          </cell>
          <cell r="D165">
            <v>18.46</v>
          </cell>
        </row>
        <row r="166">
          <cell r="B166" t="str">
            <v>2026-02-10</v>
          </cell>
          <cell r="C166" t="str">
            <v>10</v>
          </cell>
          <cell r="D166">
            <v>18.48</v>
          </cell>
        </row>
        <row r="167">
          <cell r="B167" t="str">
            <v>2026-02-11</v>
          </cell>
          <cell r="C167" t="str">
            <v>11</v>
          </cell>
          <cell r="D167">
            <v>18.63</v>
          </cell>
        </row>
        <row r="168">
          <cell r="B168" t="str">
            <v>2026-02-12</v>
          </cell>
          <cell r="C168" t="str">
            <v>12</v>
          </cell>
          <cell r="D168">
            <v>18.77</v>
          </cell>
        </row>
        <row r="169">
          <cell r="B169" t="str">
            <v>2026-02-13</v>
          </cell>
          <cell r="C169" t="str">
            <v>13</v>
          </cell>
          <cell r="D169">
            <v>18.8</v>
          </cell>
        </row>
        <row r="170">
          <cell r="B170" t="str">
            <v>2026-02-14</v>
          </cell>
          <cell r="C170" t="str">
            <v>14</v>
          </cell>
          <cell r="D170">
            <v>18.8</v>
          </cell>
        </row>
        <row r="171">
          <cell r="B171" t="str">
            <v>2026-02-15</v>
          </cell>
          <cell r="C171" t="str">
            <v>15</v>
          </cell>
          <cell r="D171">
            <v>18.8</v>
          </cell>
        </row>
        <row r="172">
          <cell r="B172" t="str">
            <v>2026-02-16</v>
          </cell>
          <cell r="C172" t="str">
            <v>16</v>
          </cell>
          <cell r="D172">
            <v>18.8</v>
          </cell>
        </row>
        <row r="173">
          <cell r="B173" t="str">
            <v>2026-02-17</v>
          </cell>
          <cell r="C173" t="str">
            <v>17</v>
          </cell>
          <cell r="D173">
            <v>18.8</v>
          </cell>
        </row>
        <row r="174">
          <cell r="B174" t="str">
            <v>2026-02-18</v>
          </cell>
          <cell r="C174" t="str">
            <v>18</v>
          </cell>
          <cell r="D174">
            <v>18.8</v>
          </cell>
        </row>
        <row r="175">
          <cell r="B175" t="str">
            <v>2026-02-19</v>
          </cell>
          <cell r="C175" t="str">
            <v>19</v>
          </cell>
          <cell r="D175">
            <v>18.8</v>
          </cell>
        </row>
        <row r="176">
          <cell r="B176" t="str">
            <v>2026-02-20</v>
          </cell>
          <cell r="C176" t="str">
            <v>20</v>
          </cell>
          <cell r="D176">
            <v>18.8</v>
          </cell>
        </row>
        <row r="177">
          <cell r="B177" t="str">
            <v>2026-02-21</v>
          </cell>
          <cell r="C177" t="str">
            <v>21</v>
          </cell>
          <cell r="D177">
            <v>18.8</v>
          </cell>
        </row>
        <row r="178">
          <cell r="B178" t="str">
            <v>2026-02-22</v>
          </cell>
          <cell r="C178" t="str">
            <v>22</v>
          </cell>
          <cell r="D178">
            <v>18.8</v>
          </cell>
        </row>
        <row r="179">
          <cell r="B179" t="str">
            <v>2026-02-23</v>
          </cell>
          <cell r="C179" t="str">
            <v>23</v>
          </cell>
          <cell r="D179">
            <v>18.78</v>
          </cell>
        </row>
        <row r="180">
          <cell r="B180" t="str">
            <v>2026-02-24</v>
          </cell>
          <cell r="C180" t="str">
            <v>24</v>
          </cell>
          <cell r="D180">
            <v>18.920000000000002</v>
          </cell>
        </row>
        <row r="181">
          <cell r="B181" t="str">
            <v>2026-02-25</v>
          </cell>
          <cell r="C181" t="str">
            <v>25</v>
          </cell>
          <cell r="D181">
            <v>18.940000000000001</v>
          </cell>
        </row>
        <row r="182">
          <cell r="B182" t="str">
            <v>2026-02-26</v>
          </cell>
          <cell r="C182" t="str">
            <v>26</v>
          </cell>
          <cell r="D182">
            <v>19.04</v>
          </cell>
        </row>
        <row r="183">
          <cell r="B183" t="str">
            <v>2026-02-27</v>
          </cell>
          <cell r="C183" t="str">
            <v>27</v>
          </cell>
          <cell r="D183">
            <v>18.87</v>
          </cell>
        </row>
        <row r="184">
          <cell r="B184" t="str">
            <v>2026-02-28</v>
          </cell>
          <cell r="C184" t="str">
            <v>28</v>
          </cell>
          <cell r="D184">
            <v>18.87</v>
          </cell>
        </row>
        <row r="185">
          <cell r="B185" t="str">
            <v>2026-03-01</v>
          </cell>
          <cell r="C185" t="str">
            <v>01</v>
          </cell>
          <cell r="D185">
            <v>18.87</v>
          </cell>
        </row>
        <row r="186">
          <cell r="B186" t="str">
            <v>2026-03-02</v>
          </cell>
          <cell r="C186" t="str">
            <v>02</v>
          </cell>
          <cell r="D186">
            <v>18.75</v>
          </cell>
        </row>
        <row r="187">
          <cell r="B187" t="str">
            <v>2026-03-03</v>
          </cell>
          <cell r="C187" t="str">
            <v>03</v>
          </cell>
          <cell r="D187">
            <v>18.66</v>
          </cell>
        </row>
        <row r="188">
          <cell r="B188" t="str">
            <v>2026-03-04</v>
          </cell>
          <cell r="C188" t="str">
            <v>04</v>
          </cell>
          <cell r="D188">
            <v>18.5</v>
          </cell>
        </row>
        <row r="189">
          <cell r="B189" t="str">
            <v>2026-03-05</v>
          </cell>
          <cell r="C189" t="str">
            <v>05</v>
          </cell>
          <cell r="D189">
            <v>18.62</v>
          </cell>
        </row>
        <row r="190">
          <cell r="B190" t="str">
            <v>2026-03-06</v>
          </cell>
          <cell r="C190" t="str">
            <v>06</v>
          </cell>
          <cell r="D190">
            <v>18.48</v>
          </cell>
        </row>
        <row r="191">
          <cell r="B191" t="str">
            <v>2026-03-07</v>
          </cell>
          <cell r="C191" t="str">
            <v>07</v>
          </cell>
          <cell r="D191">
            <v>18.48</v>
          </cell>
        </row>
        <row r="192">
          <cell r="B192" t="str">
            <v>2026-03-08</v>
          </cell>
          <cell r="C192" t="str">
            <v>08</v>
          </cell>
          <cell r="D192">
            <v>18.48</v>
          </cell>
        </row>
        <row r="193">
          <cell r="B193" t="str">
            <v>2026-03-09</v>
          </cell>
          <cell r="C193" t="str">
            <v>09</v>
          </cell>
          <cell r="D193">
            <v>18.34</v>
          </cell>
        </row>
        <row r="194">
          <cell r="B194" t="str">
            <v>2026-03-10</v>
          </cell>
          <cell r="C194" t="str">
            <v>10</v>
          </cell>
          <cell r="D194">
            <v>18.66</v>
          </cell>
        </row>
        <row r="195">
          <cell r="B195" t="str">
            <v>2026-03-11</v>
          </cell>
          <cell r="C195" t="str">
            <v>11</v>
          </cell>
          <cell r="D195">
            <v>18.64</v>
          </cell>
        </row>
        <row r="196">
          <cell r="B196" t="str">
            <v>2026-03-12</v>
          </cell>
          <cell r="C196" t="str">
            <v>12</v>
          </cell>
          <cell r="D196">
            <v>18.5</v>
          </cell>
        </row>
        <row r="197">
          <cell r="B197" t="str">
            <v>2026-03-13</v>
          </cell>
          <cell r="C197" t="str">
            <v>13</v>
          </cell>
          <cell r="D197">
            <v>18.34</v>
          </cell>
        </row>
        <row r="198">
          <cell r="B198" t="str">
            <v>2026-03-14</v>
          </cell>
          <cell r="C198" t="str">
            <v>14</v>
          </cell>
          <cell r="D198">
            <v>18.34</v>
          </cell>
        </row>
        <row r="199">
          <cell r="B199" t="str">
            <v>2026-03-15</v>
          </cell>
          <cell r="C199" t="str">
            <v>15</v>
          </cell>
          <cell r="D199">
            <v>18.34</v>
          </cell>
        </row>
        <row r="200">
          <cell r="B200" t="str">
            <v>2026-03-16</v>
          </cell>
          <cell r="C200" t="str">
            <v>16</v>
          </cell>
          <cell r="D200">
            <v>18.36</v>
          </cell>
        </row>
        <row r="201">
          <cell r="B201" t="str">
            <v>2026-03-17</v>
          </cell>
          <cell r="C201" t="str">
            <v>17</v>
          </cell>
          <cell r="D201">
            <v>18.37</v>
          </cell>
        </row>
        <row r="202">
          <cell r="B202" t="str">
            <v>2026-03-18</v>
          </cell>
          <cell r="C202" t="str">
            <v>18</v>
          </cell>
          <cell r="D202">
            <v>18.43</v>
          </cell>
        </row>
        <row r="203">
          <cell r="B203" t="str">
            <v>2026-03-19</v>
          </cell>
          <cell r="C203" t="str">
            <v>19</v>
          </cell>
          <cell r="D203">
            <v>18.28</v>
          </cell>
        </row>
        <row r="204">
          <cell r="B204" t="str">
            <v>2026-03-20</v>
          </cell>
          <cell r="C204" t="str">
            <v>20</v>
          </cell>
          <cell r="D204">
            <v>18.43</v>
          </cell>
        </row>
        <row r="205">
          <cell r="B205" t="str">
            <v>2026-03-21</v>
          </cell>
          <cell r="C205" t="str">
            <v>21</v>
          </cell>
          <cell r="D205">
            <v>18.43</v>
          </cell>
        </row>
        <row r="206">
          <cell r="B206" t="str">
            <v>2026-03-22</v>
          </cell>
          <cell r="C206" t="str">
            <v>22</v>
          </cell>
          <cell r="D206">
            <v>18.43</v>
          </cell>
        </row>
        <row r="207">
          <cell r="B207" t="str">
            <v>2026-03-23</v>
          </cell>
          <cell r="C207" t="str">
            <v>23</v>
          </cell>
          <cell r="D207">
            <v>18.11</v>
          </cell>
        </row>
        <row r="208">
          <cell r="B208" t="str">
            <v>2026-03-24</v>
          </cell>
          <cell r="C208" t="str">
            <v>24</v>
          </cell>
          <cell r="D208">
            <v>18.329999999999998</v>
          </cell>
        </row>
        <row r="209">
          <cell r="B209" t="str">
            <v>2026-03-25</v>
          </cell>
          <cell r="C209" t="str">
            <v>25</v>
          </cell>
          <cell r="D209">
            <v>18.34</v>
          </cell>
        </row>
        <row r="210">
          <cell r="B210" t="str">
            <v>2026-03-26</v>
          </cell>
          <cell r="C210" t="str">
            <v>26</v>
          </cell>
          <cell r="D210">
            <v>18.21</v>
          </cell>
        </row>
        <row r="211">
          <cell r="B211" t="str">
            <v>2026-03-27</v>
          </cell>
          <cell r="C211" t="str">
            <v>27</v>
          </cell>
          <cell r="D211">
            <v>18.21</v>
          </cell>
        </row>
        <row r="212">
          <cell r="B212" t="str">
            <v>2026-03-28</v>
          </cell>
          <cell r="C212" t="str">
            <v>28</v>
          </cell>
          <cell r="D212">
            <v>18.21</v>
          </cell>
        </row>
        <row r="213">
          <cell r="B213" t="str">
            <v>2026-03-29</v>
          </cell>
          <cell r="C213" t="str">
            <v>29</v>
          </cell>
          <cell r="D213">
            <v>18.21</v>
          </cell>
        </row>
        <row r="214">
          <cell r="B214" t="str">
            <v>2026-03-30</v>
          </cell>
          <cell r="C214" t="str">
            <v>30</v>
          </cell>
          <cell r="D214">
            <v>18.16</v>
          </cell>
        </row>
        <row r="215">
          <cell r="B215" t="str">
            <v>2026-03-31</v>
          </cell>
          <cell r="C215" t="str">
            <v>31</v>
          </cell>
          <cell r="D215">
            <v>17.989999999999998</v>
          </cell>
        </row>
        <row r="216">
          <cell r="B216" t="str">
            <v>2026-04-01</v>
          </cell>
          <cell r="C216" t="str">
            <v>01</v>
          </cell>
          <cell r="D216">
            <v>18.239999999999998</v>
          </cell>
        </row>
        <row r="217">
          <cell r="B217" t="str">
            <v>2026-04-02</v>
          </cell>
          <cell r="C217" t="str">
            <v>02</v>
          </cell>
          <cell r="D217">
            <v>18.2</v>
          </cell>
        </row>
        <row r="218">
          <cell r="B218" t="str">
            <v>2026-04-03</v>
          </cell>
          <cell r="C218" t="str">
            <v>03</v>
          </cell>
          <cell r="D218">
            <v>18.190000000000001</v>
          </cell>
        </row>
        <row r="219">
          <cell r="B219" t="str">
            <v>2026-04-04</v>
          </cell>
          <cell r="C219" t="str">
            <v>04</v>
          </cell>
          <cell r="D219">
            <v>18.190000000000001</v>
          </cell>
        </row>
        <row r="220">
          <cell r="B220" t="str">
            <v>2026-04-05</v>
          </cell>
          <cell r="C220" t="str">
            <v>05</v>
          </cell>
          <cell r="D220">
            <v>18.190000000000001</v>
          </cell>
        </row>
        <row r="221">
          <cell r="B221" t="str">
            <v>2026-04-06</v>
          </cell>
          <cell r="C221" t="str">
            <v>06</v>
          </cell>
          <cell r="D221">
            <v>18.2</v>
          </cell>
        </row>
        <row r="222">
          <cell r="B222" t="str">
            <v>2026-04-07</v>
          </cell>
          <cell r="C222" t="str">
            <v>07</v>
          </cell>
          <cell r="D222">
            <v>18.36</v>
          </cell>
        </row>
        <row r="223">
          <cell r="B223" t="str">
            <v>2026-04-08</v>
          </cell>
          <cell r="C223" t="str">
            <v>08</v>
          </cell>
          <cell r="D223">
            <v>18.559999999999999</v>
          </cell>
        </row>
        <row r="224">
          <cell r="B224" t="str">
            <v>2026-04-09</v>
          </cell>
          <cell r="C224" t="str">
            <v>09</v>
          </cell>
          <cell r="D224">
            <v>18.52</v>
          </cell>
        </row>
        <row r="225">
          <cell r="B225" t="str">
            <v>2026-04-10</v>
          </cell>
          <cell r="C225" t="str">
            <v>10</v>
          </cell>
          <cell r="D225">
            <v>18.57</v>
          </cell>
        </row>
        <row r="226">
          <cell r="B226" t="str">
            <v>2026-04-11</v>
          </cell>
          <cell r="C226" t="str">
            <v>11</v>
          </cell>
          <cell r="D226">
            <v>18.57</v>
          </cell>
        </row>
        <row r="227">
          <cell r="B227" t="str">
            <v>2026-04-12</v>
          </cell>
          <cell r="C227" t="str">
            <v>12</v>
          </cell>
          <cell r="D227">
            <v>18.57</v>
          </cell>
        </row>
        <row r="228">
          <cell r="B228" t="str">
            <v>2026-04-13</v>
          </cell>
          <cell r="C228" t="str">
            <v>13</v>
          </cell>
          <cell r="D228">
            <v>18.45</v>
          </cell>
        </row>
        <row r="229">
          <cell r="B229" t="str">
            <v>2026-04-14</v>
          </cell>
          <cell r="C229" t="str">
            <v>14</v>
          </cell>
          <cell r="D229">
            <v>18.52</v>
          </cell>
        </row>
        <row r="230">
          <cell r="B230" t="str">
            <v>2026-04-15</v>
          </cell>
          <cell r="C230" t="str">
            <v>15</v>
          </cell>
          <cell r="D230">
            <v>18.66</v>
          </cell>
        </row>
        <row r="231">
          <cell r="B231" t="str">
            <v>2026-04-16</v>
          </cell>
          <cell r="C231" t="str">
            <v>16</v>
          </cell>
          <cell r="D231">
            <v>18.61</v>
          </cell>
        </row>
        <row r="232">
          <cell r="B232" t="str">
            <v>2026-04-17</v>
          </cell>
          <cell r="C232" t="str">
            <v>17</v>
          </cell>
          <cell r="D232">
            <v>18.739999999999998</v>
          </cell>
        </row>
        <row r="233">
          <cell r="B233" t="str">
            <v>2026-04-18</v>
          </cell>
          <cell r="C233" t="str">
            <v>18</v>
          </cell>
          <cell r="D233">
            <v>18.739999999999998</v>
          </cell>
        </row>
        <row r="234">
          <cell r="B234" t="str">
            <v>2026-04-19</v>
          </cell>
          <cell r="C234" t="str">
            <v>19</v>
          </cell>
          <cell r="D234">
            <v>18.739999999999998</v>
          </cell>
        </row>
        <row r="235">
          <cell r="B235" t="str">
            <v>2026-04-20</v>
          </cell>
          <cell r="C235" t="str">
            <v>20</v>
          </cell>
          <cell r="D235">
            <v>18.64</v>
          </cell>
        </row>
        <row r="236">
          <cell r="B236" t="str">
            <v>2026-04-21</v>
          </cell>
          <cell r="C236" t="str">
            <v>21</v>
          </cell>
          <cell r="D236">
            <v>18.649999999999999</v>
          </cell>
        </row>
        <row r="237">
          <cell r="B237" t="str">
            <v>2026-04-22</v>
          </cell>
          <cell r="C237" t="str">
            <v>22</v>
          </cell>
          <cell r="D237">
            <v>18.55</v>
          </cell>
        </row>
        <row r="238">
          <cell r="B238" t="str">
            <v>2026-04-23</v>
          </cell>
          <cell r="C238" t="str">
            <v>23</v>
          </cell>
          <cell r="D238">
            <v>18.57</v>
          </cell>
        </row>
        <row r="239">
          <cell r="B239" t="str">
            <v>2026-04-24</v>
          </cell>
          <cell r="C239" t="str">
            <v>24</v>
          </cell>
          <cell r="D239">
            <v>18.510000000000002</v>
          </cell>
        </row>
        <row r="240">
          <cell r="B240" t="str">
            <v>2026-04-25</v>
          </cell>
          <cell r="C240" t="str">
            <v>25</v>
          </cell>
          <cell r="D240">
            <v>18.510000000000002</v>
          </cell>
        </row>
        <row r="241">
          <cell r="B241" t="str">
            <v>2026-04-26</v>
          </cell>
          <cell r="C241" t="str">
            <v>26</v>
          </cell>
          <cell r="D241">
            <v>18.510000000000002</v>
          </cell>
        </row>
        <row r="242">
          <cell r="B242" t="str">
            <v>2026-04-27</v>
          </cell>
          <cell r="C242" t="str">
            <v>27</v>
          </cell>
          <cell r="D242">
            <v>18.510000000000002</v>
          </cell>
        </row>
        <row r="243">
          <cell r="B243" t="str">
            <v>2026-04-28</v>
          </cell>
          <cell r="C243" t="str">
            <v>28</v>
          </cell>
          <cell r="D243">
            <v>18.62</v>
          </cell>
        </row>
        <row r="244">
          <cell r="B244" t="str">
            <v>2026-04-29</v>
          </cell>
          <cell r="C244" t="str">
            <v>29</v>
          </cell>
          <cell r="D244">
            <v>18.559999999999999</v>
          </cell>
        </row>
        <row r="245">
          <cell r="B245" t="str">
            <v>2026-04-30</v>
          </cell>
          <cell r="C245" t="str">
            <v>30</v>
          </cell>
          <cell r="D245">
            <v>18.559999999999999</v>
          </cell>
        </row>
        <row r="246">
          <cell r="B246" t="str">
            <v>2026-05-01</v>
          </cell>
          <cell r="C246" t="str">
            <v>01</v>
          </cell>
          <cell r="D246">
            <v>18.559999999999999</v>
          </cell>
        </row>
        <row r="247">
          <cell r="B247" t="str">
            <v>2026-05-02</v>
          </cell>
          <cell r="C247" t="str">
            <v>02</v>
          </cell>
          <cell r="D247">
            <v>18.559999999999999</v>
          </cell>
        </row>
        <row r="248">
          <cell r="B248" t="str">
            <v>2026-05-03</v>
          </cell>
          <cell r="C248" t="str">
            <v>03</v>
          </cell>
          <cell r="D248">
            <v>18.559999999999999</v>
          </cell>
        </row>
        <row r="249">
          <cell r="B249" t="str">
            <v>2026-05-04</v>
          </cell>
          <cell r="C249" t="str">
            <v>04</v>
          </cell>
          <cell r="D249">
            <v>18.670000000000002</v>
          </cell>
        </row>
        <row r="250">
          <cell r="B250" t="str">
            <v>2026-05-05</v>
          </cell>
          <cell r="C250" t="str">
            <v>05</v>
          </cell>
          <cell r="D250">
            <v>18.62</v>
          </cell>
        </row>
        <row r="251">
          <cell r="B251" t="str">
            <v>2026-05-06</v>
          </cell>
          <cell r="C251" t="str">
            <v>06</v>
          </cell>
          <cell r="D251">
            <v>18.96</v>
          </cell>
        </row>
        <row r="252">
          <cell r="B252" t="str">
            <v>2026-05-07</v>
          </cell>
          <cell r="C252" t="str">
            <v>07</v>
          </cell>
          <cell r="D252">
            <v>18.940000000000001</v>
          </cell>
        </row>
        <row r="253">
          <cell r="B253" t="str">
            <v>2026-05-08</v>
          </cell>
          <cell r="C253" t="str">
            <v>08</v>
          </cell>
          <cell r="D253">
            <v>18.73</v>
          </cell>
        </row>
        <row r="254">
          <cell r="B254" t="str">
            <v>2026-05-09</v>
          </cell>
          <cell r="C254" t="str">
            <v>09</v>
          </cell>
          <cell r="D254">
            <v>18.73</v>
          </cell>
        </row>
        <row r="255">
          <cell r="B255" t="str">
            <v>2026-05-10</v>
          </cell>
          <cell r="C255" t="str">
            <v>10</v>
          </cell>
          <cell r="D255">
            <v>18.73</v>
          </cell>
        </row>
        <row r="256">
          <cell r="B256" t="str">
            <v>2026-05-11</v>
          </cell>
          <cell r="C256" t="str">
            <v>11</v>
          </cell>
          <cell r="D256">
            <v>18.68</v>
          </cell>
        </row>
        <row r="257">
          <cell r="B257" t="str">
            <v>2026-05-12</v>
          </cell>
          <cell r="C257" t="str">
            <v>12</v>
          </cell>
          <cell r="D257">
            <v>18.420000000000002</v>
          </cell>
        </row>
        <row r="258">
          <cell r="B258" t="str">
            <v>2026-05-13</v>
          </cell>
          <cell r="C258" t="str">
            <v>13</v>
          </cell>
          <cell r="D258">
            <v>18.37</v>
          </cell>
        </row>
        <row r="259">
          <cell r="B259" t="str">
            <v>2026-05-14</v>
          </cell>
          <cell r="C259" t="str">
            <v>14</v>
          </cell>
          <cell r="D259">
            <v>18.440000000000001</v>
          </cell>
        </row>
        <row r="260">
          <cell r="B260" t="str">
            <v>2026-05-15</v>
          </cell>
          <cell r="C260" t="str">
            <v>15</v>
          </cell>
          <cell r="D260">
            <v>18.3</v>
          </cell>
        </row>
        <row r="261">
          <cell r="B261" t="str">
            <v>2026-05-16</v>
          </cell>
          <cell r="C261" t="str">
            <v>16</v>
          </cell>
          <cell r="D261">
            <v>18.3</v>
          </cell>
        </row>
        <row r="262">
          <cell r="B262" t="str">
            <v>2026-05-17</v>
          </cell>
          <cell r="C262" t="str">
            <v>17</v>
          </cell>
          <cell r="D262">
            <v>18.3</v>
          </cell>
        </row>
        <row r="263">
          <cell r="B263" t="str">
            <v>2026-05-18</v>
          </cell>
          <cell r="C263" t="str">
            <v>18</v>
          </cell>
          <cell r="D263">
            <v>18.48</v>
          </cell>
        </row>
        <row r="264">
          <cell r="B264" t="str">
            <v>2026-05-19</v>
          </cell>
          <cell r="C264" t="str">
            <v>19</v>
          </cell>
          <cell r="D264">
            <v>18.21</v>
          </cell>
        </row>
        <row r="265">
          <cell r="B265" t="str">
            <v>2026-05-20</v>
          </cell>
          <cell r="C265" t="str">
            <v>20</v>
          </cell>
          <cell r="D265">
            <v>18.18</v>
          </cell>
        </row>
        <row r="266">
          <cell r="B266" t="str">
            <v>2026-05-21</v>
          </cell>
          <cell r="C266" t="str">
            <v>21</v>
          </cell>
          <cell r="D266">
            <v>18.3</v>
          </cell>
        </row>
        <row r="267">
          <cell r="B267" t="str">
            <v>2026-05-22</v>
          </cell>
          <cell r="C267" t="str">
            <v>22</v>
          </cell>
          <cell r="D267">
            <v>18.29</v>
          </cell>
        </row>
        <row r="268">
          <cell r="B268" t="str">
            <v>2026-05-23</v>
          </cell>
          <cell r="C268" t="str">
            <v>23</v>
          </cell>
          <cell r="D268">
            <v>18.29</v>
          </cell>
        </row>
        <row r="269">
          <cell r="B269" t="str">
            <v>2026-05-24</v>
          </cell>
          <cell r="C269" t="str">
            <v>24</v>
          </cell>
          <cell r="D269">
            <v>18.29</v>
          </cell>
        </row>
        <row r="270">
          <cell r="B270" t="str">
            <v>2026-05-25</v>
          </cell>
          <cell r="C270" t="str">
            <v>25</v>
          </cell>
          <cell r="D270">
            <v>18.21</v>
          </cell>
        </row>
        <row r="271">
          <cell r="B271" t="str">
            <v>2026-05-26</v>
          </cell>
          <cell r="C271" t="str">
            <v>26</v>
          </cell>
          <cell r="D271">
            <v>18.2</v>
          </cell>
        </row>
        <row r="272">
          <cell r="B272" t="str">
            <v>2026-05-27</v>
          </cell>
          <cell r="C272" t="str">
            <v>27</v>
          </cell>
          <cell r="D272">
            <v>18.27</v>
          </cell>
        </row>
        <row r="273">
          <cell r="B273" t="str">
            <v>2026-05-28</v>
          </cell>
          <cell r="C273" t="str">
            <v>28</v>
          </cell>
          <cell r="D273">
            <v>18.260000000000002</v>
          </cell>
        </row>
        <row r="274">
          <cell r="B274" t="str">
            <v>2026-05-29</v>
          </cell>
          <cell r="C274" t="str">
            <v>29</v>
          </cell>
          <cell r="D274">
            <v>18.190000000000001</v>
          </cell>
        </row>
        <row r="275">
          <cell r="B275" t="str">
            <v>2026-05-30</v>
          </cell>
          <cell r="C275" t="str">
            <v>30</v>
          </cell>
          <cell r="D275">
            <v>18.190000000000001</v>
          </cell>
        </row>
        <row r="276">
          <cell r="B276" t="str">
            <v>2026-05-31</v>
          </cell>
          <cell r="C276" t="str">
            <v>31</v>
          </cell>
          <cell r="D276">
            <v>18.190000000000001</v>
          </cell>
        </row>
        <row r="277">
          <cell r="B277" t="str">
            <v>2026-06-01</v>
          </cell>
          <cell r="C277" t="str">
            <v>01</v>
          </cell>
          <cell r="D277">
            <v>18.23</v>
          </cell>
        </row>
        <row r="278">
          <cell r="B278" t="str">
            <v>2026-06-02</v>
          </cell>
          <cell r="C278" t="str">
            <v>02</v>
          </cell>
          <cell r="D278">
            <v>18.11</v>
          </cell>
        </row>
        <row r="279">
          <cell r="B279" t="str">
            <v>2026-06-03</v>
          </cell>
          <cell r="C279" t="str">
            <v>03</v>
          </cell>
          <cell r="D279">
            <v>18.09</v>
          </cell>
        </row>
        <row r="280">
          <cell r="B280" t="str">
            <v>2026-06-04</v>
          </cell>
          <cell r="C280" t="str">
            <v>04</v>
          </cell>
          <cell r="D280">
            <v>17.97</v>
          </cell>
        </row>
        <row r="281">
          <cell r="B281" t="str">
            <v>2026-06-05</v>
          </cell>
          <cell r="C281" t="str">
            <v>05</v>
          </cell>
          <cell r="D281">
            <v>17.82</v>
          </cell>
        </row>
        <row r="282">
          <cell r="B282" t="str">
            <v>2026-06-06</v>
          </cell>
          <cell r="C282" t="str">
            <v>06</v>
          </cell>
          <cell r="D282">
            <v>17.82</v>
          </cell>
        </row>
        <row r="283">
          <cell r="B283" t="str">
            <v>2026-06-07</v>
          </cell>
          <cell r="C283" t="str">
            <v>07</v>
          </cell>
          <cell r="D283">
            <v>17.82</v>
          </cell>
        </row>
        <row r="284">
          <cell r="B284" t="str">
            <v>2026-06-08</v>
          </cell>
          <cell r="C284" t="str">
            <v>08</v>
          </cell>
          <cell r="D284">
            <v>17.739999999999998</v>
          </cell>
        </row>
        <row r="285">
          <cell r="B285" t="str">
            <v>2026-06-09</v>
          </cell>
          <cell r="C285" t="str">
            <v>09</v>
          </cell>
          <cell r="D285">
            <v>18.079999999999998</v>
          </cell>
        </row>
        <row r="286">
          <cell r="B286" t="str">
            <v>2026-06-10</v>
          </cell>
          <cell r="C286" t="str">
            <v>10</v>
          </cell>
          <cell r="D286">
            <v>18.07</v>
          </cell>
        </row>
        <row r="287">
          <cell r="B287" t="str">
            <v>2026-06-11</v>
          </cell>
          <cell r="C287" t="str">
            <v>11</v>
          </cell>
          <cell r="D287">
            <v>17.989999999999998</v>
          </cell>
        </row>
        <row r="288">
          <cell r="B288" t="str">
            <v>2026-06-12</v>
          </cell>
          <cell r="C288" t="str">
            <v>12</v>
          </cell>
          <cell r="D288">
            <v>18.100000000000001</v>
          </cell>
        </row>
        <row r="289">
          <cell r="B289" t="str">
            <v>2026-06-13</v>
          </cell>
          <cell r="C289" t="str">
            <v>13</v>
          </cell>
          <cell r="D289">
            <v>18.100000000000001</v>
          </cell>
        </row>
        <row r="290">
          <cell r="B290" t="str">
            <v>2026-06-14</v>
          </cell>
          <cell r="C290" t="str">
            <v>14</v>
          </cell>
          <cell r="D290">
            <v>18.100000000000001</v>
          </cell>
        </row>
        <row r="291">
          <cell r="B291" t="str">
            <v>2026-06-15</v>
          </cell>
          <cell r="C291" t="str">
            <v>15</v>
          </cell>
          <cell r="D291">
            <v>18.13</v>
          </cell>
        </row>
        <row r="292">
          <cell r="B292" t="str">
            <v>2026-06-16</v>
          </cell>
          <cell r="C292" t="str">
            <v>16</v>
          </cell>
          <cell r="D292">
            <v>18.100000000000001</v>
          </cell>
        </row>
        <row r="293">
          <cell r="B293" t="str">
            <v>2026-06-17</v>
          </cell>
          <cell r="C293" t="str">
            <v>17</v>
          </cell>
          <cell r="D293">
            <v>18.14</v>
          </cell>
        </row>
        <row r="294">
          <cell r="B294" t="str">
            <v>2026-06-18</v>
          </cell>
          <cell r="C294" t="str">
            <v>18</v>
          </cell>
          <cell r="D294">
            <v>18.3</v>
          </cell>
        </row>
        <row r="295">
          <cell r="B295" t="str">
            <v>2026-06-19</v>
          </cell>
          <cell r="C295" t="str">
            <v>19</v>
          </cell>
          <cell r="D295">
            <v>17.84</v>
          </cell>
        </row>
        <row r="296">
          <cell r="B296" t="str">
            <v>2026-06-20</v>
          </cell>
          <cell r="C296" t="str">
            <v>20</v>
          </cell>
          <cell r="D296">
            <v>17.84</v>
          </cell>
        </row>
        <row r="297">
          <cell r="B297" t="str">
            <v>2026-06-21</v>
          </cell>
          <cell r="C297" t="str">
            <v>21</v>
          </cell>
          <cell r="D297">
            <v>17.84</v>
          </cell>
        </row>
        <row r="298">
          <cell r="B298" t="str">
            <v>2026-06-22</v>
          </cell>
          <cell r="C298" t="str">
            <v>22</v>
          </cell>
          <cell r="D298">
            <v>17.91</v>
          </cell>
        </row>
        <row r="299">
          <cell r="B299" t="str">
            <v>2026-06-23</v>
          </cell>
          <cell r="C299" t="str">
            <v>23</v>
          </cell>
          <cell r="D299">
            <v>17.829999999999998</v>
          </cell>
        </row>
        <row r="300">
          <cell r="B300" t="str">
            <v>2026-06-24</v>
          </cell>
          <cell r="C300" t="str">
            <v>24</v>
          </cell>
          <cell r="D300">
            <v>17.78</v>
          </cell>
        </row>
        <row r="301">
          <cell r="B301" t="str">
            <v>2026-06-25</v>
          </cell>
          <cell r="C301" t="str">
            <v>25</v>
          </cell>
          <cell r="D301">
            <v>17.739999999999998</v>
          </cell>
        </row>
        <row r="302">
          <cell r="B302" t="str">
            <v>2026-06-26</v>
          </cell>
          <cell r="C302" t="str">
            <v>26</v>
          </cell>
          <cell r="D302">
            <v>17.73</v>
          </cell>
        </row>
        <row r="303">
          <cell r="B303" t="str">
            <v>2026-06-27</v>
          </cell>
          <cell r="C303" t="str">
            <v>27</v>
          </cell>
        </row>
        <row r="304">
          <cell r="B304" t="str">
            <v>2026-06-28</v>
          </cell>
          <cell r="C304" t="str">
            <v>28</v>
          </cell>
        </row>
        <row r="305">
          <cell r="B305" t="str">
            <v>2026-06-29</v>
          </cell>
          <cell r="C305" t="str">
            <v>29</v>
          </cell>
        </row>
        <row r="306">
          <cell r="B306" t="str">
            <v>2026-06-30</v>
          </cell>
          <cell r="C306" t="str">
            <v>30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definedNames>
      <definedName name="VND"/>
    </defined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F5DD9-0DED-4FEC-BAF7-22628787059D}">
  <sheetPr>
    <tabColor rgb="FFFF0000"/>
  </sheetPr>
  <dimension ref="A1:AB62"/>
  <sheetViews>
    <sheetView tabSelected="1" topLeftCell="A46" zoomScale="98" zoomScaleNormal="98" workbookViewId="0">
      <selection activeCell="K51" sqref="K51"/>
    </sheetView>
  </sheetViews>
  <sheetFormatPr defaultRowHeight="15"/>
  <cols>
    <col min="1" max="1" width="4.7109375" style="1" customWidth="1"/>
    <col min="2" max="2" width="17.7109375" style="1" customWidth="1"/>
    <col min="3" max="3" width="15.140625" style="3" customWidth="1"/>
    <col min="4" max="4" width="46.28515625" style="3" hidden="1" customWidth="1"/>
    <col min="5" max="5" width="15.140625" style="3" customWidth="1"/>
    <col min="6" max="6" width="23.7109375" style="54" customWidth="1"/>
    <col min="7" max="7" width="28.140625" style="54" customWidth="1"/>
    <col min="8" max="8" width="30.7109375" style="54" customWidth="1"/>
    <col min="9" max="9" width="7" style="1" customWidth="1"/>
    <col min="10" max="11" width="5.5703125" style="1" customWidth="1"/>
    <col min="12" max="12" width="5.42578125" style="1" customWidth="1"/>
    <col min="13" max="13" width="9.140625" style="1" customWidth="1"/>
    <col min="14" max="14" width="9.5703125" style="1" customWidth="1"/>
    <col min="15" max="15" width="13" style="2" customWidth="1"/>
    <col min="16" max="16" width="10.42578125" style="2" hidden="1" customWidth="1"/>
    <col min="17" max="17" width="13" style="2" hidden="1" customWidth="1"/>
    <col min="18" max="18" width="11.42578125" style="2" customWidth="1"/>
    <col min="19" max="19" width="11.28515625" style="2" hidden="1" customWidth="1"/>
    <col min="20" max="20" width="14" style="2" customWidth="1"/>
    <col min="21" max="21" width="16.5703125" style="2" hidden="1" customWidth="1"/>
    <col min="22" max="23" width="10.85546875" style="2" hidden="1" customWidth="1"/>
    <col min="24" max="24" width="12.7109375" style="2" customWidth="1"/>
    <col min="25" max="25" width="13.140625" style="2" customWidth="1"/>
    <col min="26" max="26" width="10.28515625" style="3" customWidth="1"/>
    <col min="27" max="16384" width="9.140625" style="1"/>
  </cols>
  <sheetData>
    <row r="1" spans="1:27" ht="23.25" customHeight="1">
      <c r="A1" s="69" t="s">
        <v>0</v>
      </c>
      <c r="B1" s="69"/>
      <c r="C1" s="69"/>
      <c r="D1" s="69"/>
      <c r="E1" s="69"/>
      <c r="F1" s="69"/>
      <c r="G1" s="69"/>
      <c r="H1" s="69"/>
      <c r="I1" s="69"/>
      <c r="J1" s="69"/>
      <c r="K1" s="69"/>
    </row>
    <row r="2" spans="1:27" ht="19.5" customHeight="1">
      <c r="A2" s="70" t="s">
        <v>1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</row>
    <row r="3" spans="1:27" ht="19.5" customHeight="1">
      <c r="A3" s="71" t="s">
        <v>2</v>
      </c>
      <c r="B3" s="71"/>
      <c r="C3" s="71"/>
      <c r="D3" s="71"/>
      <c r="E3" s="71"/>
      <c r="F3" s="71"/>
      <c r="G3" s="71"/>
      <c r="H3" s="71"/>
      <c r="I3" s="71"/>
      <c r="J3" s="71"/>
      <c r="K3" s="71"/>
    </row>
    <row r="4" spans="1:27" ht="26.25" customHeight="1">
      <c r="A4" s="72" t="s">
        <v>3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</row>
    <row r="5" spans="1:27" ht="15.75">
      <c r="A5" s="68" t="s">
        <v>4</v>
      </c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</row>
    <row r="6" spans="1:27" ht="15.75">
      <c r="A6" s="68" t="s">
        <v>166</v>
      </c>
      <c r="B6" s="68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</row>
    <row r="7" spans="1:27">
      <c r="A7" s="63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</row>
    <row r="8" spans="1:27" s="9" customFormat="1" ht="25.5" customHeight="1">
      <c r="A8" s="4" t="s">
        <v>5</v>
      </c>
      <c r="B8" s="4"/>
      <c r="C8" s="4" t="s">
        <v>6</v>
      </c>
      <c r="D8" s="4"/>
      <c r="E8" s="5"/>
      <c r="F8" s="6"/>
      <c r="G8" s="6"/>
      <c r="H8" s="6"/>
      <c r="I8" s="4"/>
      <c r="J8" s="4"/>
      <c r="K8" s="4"/>
      <c r="L8" s="4"/>
      <c r="M8" s="4"/>
      <c r="N8" s="4"/>
      <c r="O8" s="5"/>
      <c r="P8" s="5"/>
      <c r="Q8" s="5"/>
      <c r="R8" s="5"/>
      <c r="S8" s="5"/>
      <c r="T8" s="5"/>
      <c r="U8" s="5"/>
      <c r="V8" s="5"/>
      <c r="W8" s="5"/>
      <c r="X8" s="7"/>
      <c r="Y8" s="8"/>
      <c r="Z8" s="8"/>
    </row>
    <row r="9" spans="1:27" s="9" customFormat="1" ht="21" customHeight="1">
      <c r="A9" s="64" t="s">
        <v>7</v>
      </c>
      <c r="B9" s="64"/>
      <c r="C9" s="73" t="s">
        <v>165</v>
      </c>
      <c r="D9" s="73"/>
      <c r="E9" s="73"/>
      <c r="F9" s="73"/>
      <c r="G9" s="73"/>
      <c r="H9" s="73"/>
      <c r="I9" s="73"/>
      <c r="J9" s="73"/>
      <c r="K9" s="73"/>
      <c r="L9" s="73"/>
      <c r="M9" s="4"/>
      <c r="N9" s="4"/>
      <c r="O9" s="10"/>
      <c r="P9" s="10"/>
      <c r="Q9" s="10"/>
      <c r="R9" s="7"/>
      <c r="S9" s="7"/>
      <c r="T9" s="7"/>
      <c r="U9" s="7"/>
      <c r="V9" s="7"/>
      <c r="W9" s="7"/>
      <c r="X9" s="7"/>
      <c r="Y9" s="8"/>
      <c r="Z9" s="8"/>
    </row>
    <row r="10" spans="1:27" s="9" customFormat="1" ht="21.75" customHeight="1">
      <c r="A10" s="11" t="s">
        <v>8</v>
      </c>
      <c r="B10" s="11"/>
      <c r="C10" s="12">
        <v>2300745159</v>
      </c>
      <c r="D10" s="12"/>
      <c r="E10" s="12"/>
      <c r="F10" s="13"/>
      <c r="G10" s="13"/>
      <c r="H10" s="13"/>
      <c r="I10" s="11"/>
      <c r="J10" s="11"/>
      <c r="K10" s="11"/>
      <c r="L10" s="11"/>
      <c r="M10" s="11"/>
      <c r="N10" s="11"/>
      <c r="O10" s="10"/>
      <c r="P10" s="10"/>
      <c r="Q10" s="10"/>
      <c r="R10" s="7"/>
      <c r="S10" s="7"/>
      <c r="T10" s="7"/>
      <c r="U10" s="7"/>
      <c r="V10" s="7"/>
      <c r="W10" s="7"/>
      <c r="X10" s="7"/>
      <c r="Y10" s="8"/>
      <c r="Z10" s="8"/>
    </row>
    <row r="11" spans="1:27" s="18" customFormat="1" ht="46.5" customHeight="1">
      <c r="A11" s="14" t="s">
        <v>9</v>
      </c>
      <c r="B11" s="14" t="s">
        <v>10</v>
      </c>
      <c r="C11" s="14" t="s">
        <v>11</v>
      </c>
      <c r="D11" s="14"/>
      <c r="E11" s="14" t="s">
        <v>12</v>
      </c>
      <c r="F11" s="15" t="s">
        <v>13</v>
      </c>
      <c r="G11" s="15" t="s">
        <v>14</v>
      </c>
      <c r="H11" s="15" t="s">
        <v>15</v>
      </c>
      <c r="I11" s="14" t="s">
        <v>16</v>
      </c>
      <c r="J11" s="14" t="s">
        <v>17</v>
      </c>
      <c r="K11" s="14" t="s">
        <v>18</v>
      </c>
      <c r="L11" s="14" t="s">
        <v>19</v>
      </c>
      <c r="M11" s="14" t="s">
        <v>20</v>
      </c>
      <c r="N11" s="14" t="s">
        <v>21</v>
      </c>
      <c r="O11" s="16" t="s">
        <v>22</v>
      </c>
      <c r="P11" s="17" t="s">
        <v>23</v>
      </c>
      <c r="Q11" s="17" t="s">
        <v>24</v>
      </c>
      <c r="R11" s="16" t="s">
        <v>25</v>
      </c>
      <c r="S11" s="17" t="s">
        <v>26</v>
      </c>
      <c r="T11" s="17" t="s">
        <v>27</v>
      </c>
      <c r="U11" s="17" t="s">
        <v>28</v>
      </c>
      <c r="V11" s="17" t="s">
        <v>29</v>
      </c>
      <c r="W11" s="17" t="s">
        <v>30</v>
      </c>
      <c r="X11" s="17" t="s">
        <v>31</v>
      </c>
      <c r="Y11" s="17" t="s">
        <v>32</v>
      </c>
      <c r="Z11" s="14" t="s">
        <v>33</v>
      </c>
    </row>
    <row r="12" spans="1:27" s="3" customFormat="1" ht="45" customHeight="1">
      <c r="A12" s="19">
        <v>1</v>
      </c>
      <c r="B12" s="20" t="s">
        <v>34</v>
      </c>
      <c r="C12" s="21" t="s">
        <v>35</v>
      </c>
      <c r="D12" s="22" t="str">
        <f>+CONCATENATE("Cước vận chuyển KCN Tiên Sơn - Hà Nội - SEOUL theo bill số", " ", C12, ",", , " ", "BKS: 29D-565.94", ", ", "Mã CB: ", E12)</f>
        <v>Cước vận chuyển KCN Tiên Sơn - Hà Nội - SEOUL theo bill số 2002528008, BKS: 29D-565.94, Mã CB: OZ734</v>
      </c>
      <c r="E12" s="23" t="s">
        <v>36</v>
      </c>
      <c r="F12" s="24" t="s">
        <v>37</v>
      </c>
      <c r="G12" s="25" t="s">
        <v>38</v>
      </c>
      <c r="H12" s="26" t="s">
        <v>39</v>
      </c>
      <c r="I12" s="27" t="s">
        <v>40</v>
      </c>
      <c r="J12" s="27" t="s">
        <v>41</v>
      </c>
      <c r="K12" s="27" t="s">
        <v>42</v>
      </c>
      <c r="L12" s="28">
        <v>1</v>
      </c>
      <c r="M12" s="28">
        <v>1</v>
      </c>
      <c r="N12" s="29">
        <v>1</v>
      </c>
      <c r="O12" s="30">
        <f>20000+(N12-1)*8750</f>
        <v>20000</v>
      </c>
      <c r="P12" s="31"/>
      <c r="Q12" s="30"/>
      <c r="R12" s="32">
        <v>5000</v>
      </c>
      <c r="S12" s="32"/>
      <c r="T12" s="30"/>
      <c r="U12" s="30"/>
      <c r="V12" s="30"/>
      <c r="W12" s="30"/>
      <c r="X12" s="30">
        <f>SUM(O12:R12)</f>
        <v>25000</v>
      </c>
      <c r="Y12" s="30">
        <f>ROUND(X12*Z12+T12,0)</f>
        <v>457500</v>
      </c>
      <c r="Z12" s="33">
        <f>+VLOOKUP(B12,[2]Sheet1!$B:$D,3,0)</f>
        <v>18.3</v>
      </c>
      <c r="AA12" s="34"/>
    </row>
    <row r="13" spans="1:27" s="3" customFormat="1" ht="45" customHeight="1">
      <c r="A13" s="19">
        <v>2</v>
      </c>
      <c r="B13" s="20" t="s">
        <v>34</v>
      </c>
      <c r="C13" s="21" t="s">
        <v>43</v>
      </c>
      <c r="D13" s="22" t="str">
        <f t="shared" ref="D13:D45" si="0">+CONCATENATE("Cước vận chuyển KCN Tiên Sơn - Hà Nội - SEOUL theo bill số", " ", C13, ",", , " ", "BKS: 29D-565.94", ", ", "Mã CB: ", E13)</f>
        <v>Cước vận chuyển KCN Tiên Sơn - Hà Nội - SEOUL theo bill số 2002528009, BKS: 29D-565.94, Mã CB: OZ734</v>
      </c>
      <c r="E13" s="23" t="s">
        <v>36</v>
      </c>
      <c r="F13" s="24" t="s">
        <v>44</v>
      </c>
      <c r="G13" s="25" t="s">
        <v>38</v>
      </c>
      <c r="H13" s="26" t="s">
        <v>39</v>
      </c>
      <c r="I13" s="27" t="s">
        <v>40</v>
      </c>
      <c r="J13" s="27" t="s">
        <v>41</v>
      </c>
      <c r="K13" s="27" t="s">
        <v>42</v>
      </c>
      <c r="L13" s="28">
        <v>1</v>
      </c>
      <c r="M13" s="28">
        <v>3</v>
      </c>
      <c r="N13" s="29">
        <v>3</v>
      </c>
      <c r="O13" s="30">
        <f t="shared" ref="O13:O44" si="1">20000+(N13-1)*8750</f>
        <v>37500</v>
      </c>
      <c r="P13" s="31"/>
      <c r="Q13" s="30"/>
      <c r="R13" s="32">
        <v>50000</v>
      </c>
      <c r="S13" s="32"/>
      <c r="T13" s="30"/>
      <c r="U13" s="30"/>
      <c r="V13" s="30">
        <v>0</v>
      </c>
      <c r="W13" s="30">
        <v>0</v>
      </c>
      <c r="X13" s="30">
        <f t="shared" ref="X13:X33" si="2">SUM(O13:R13)</f>
        <v>87500</v>
      </c>
      <c r="Y13" s="30">
        <f t="shared" ref="Y13:Y53" si="3">ROUND(X13*Z13+T13,0)</f>
        <v>1601250</v>
      </c>
      <c r="Z13" s="33">
        <f>+VLOOKUP(B13,[2]Sheet1!$B:$D,3,0)</f>
        <v>18.3</v>
      </c>
      <c r="AA13" s="34"/>
    </row>
    <row r="14" spans="1:27" s="3" customFormat="1" ht="45" customHeight="1">
      <c r="A14" s="19">
        <v>3</v>
      </c>
      <c r="B14" s="20" t="s">
        <v>34</v>
      </c>
      <c r="C14" s="21" t="s">
        <v>45</v>
      </c>
      <c r="D14" s="22" t="str">
        <f>+CONCATENATE("Cước vận chuyển KCN Tiên Sơn - Hà Nội - SEOUL theo bill số", " ", C14, ",", , " ", "BKS: 29D-565.94", ", ", "Mã CB: ", E14)</f>
        <v>Cước vận chuyển KCN Tiên Sơn - Hà Nội - SEOUL theo bill số 2002528011, BKS: 29D-565.94, Mã CB: OZ734</v>
      </c>
      <c r="E14" s="23" t="s">
        <v>36</v>
      </c>
      <c r="F14" s="24" t="s">
        <v>46</v>
      </c>
      <c r="G14" s="25" t="s">
        <v>47</v>
      </c>
      <c r="H14" s="26" t="s">
        <v>39</v>
      </c>
      <c r="I14" s="27" t="s">
        <v>40</v>
      </c>
      <c r="J14" s="27" t="s">
        <v>41</v>
      </c>
      <c r="K14" s="27" t="s">
        <v>42</v>
      </c>
      <c r="L14" s="28">
        <v>1</v>
      </c>
      <c r="M14" s="28">
        <v>2</v>
      </c>
      <c r="N14" s="29">
        <v>2</v>
      </c>
      <c r="O14" s="30">
        <f t="shared" si="1"/>
        <v>28750</v>
      </c>
      <c r="P14" s="31"/>
      <c r="Q14" s="30"/>
      <c r="R14" s="32">
        <v>5000</v>
      </c>
      <c r="S14" s="32"/>
      <c r="T14" s="30">
        <v>300000</v>
      </c>
      <c r="U14" s="30"/>
      <c r="V14" s="30"/>
      <c r="W14" s="30"/>
      <c r="X14" s="30">
        <f>SUM(O14:R14)</f>
        <v>33750</v>
      </c>
      <c r="Y14" s="30">
        <f>ROUND(X14*Z14+T14,0)</f>
        <v>917625</v>
      </c>
      <c r="Z14" s="33">
        <f>+VLOOKUP(B14,[2]Sheet1!$B:$D,3,0)</f>
        <v>18.3</v>
      </c>
      <c r="AA14" s="34"/>
    </row>
    <row r="15" spans="1:27" s="3" customFormat="1" ht="45" customHeight="1">
      <c r="A15" s="19">
        <v>4</v>
      </c>
      <c r="B15" s="20" t="s">
        <v>34</v>
      </c>
      <c r="C15" s="21" t="s">
        <v>48</v>
      </c>
      <c r="D15" s="22" t="str">
        <f>+CONCATENATE("Cước vận chuyển KCN Tiên Sơn - Hà Nội - SEOUL theo bill số", " ", C15, ",", , " ", "BKS: 29D-565.94", ", ", "Mã CB: ", E15)</f>
        <v>Cước vận chuyển KCN Tiên Sơn - Hà Nội - SEOUL theo bill số 2002528012, BKS: 29D-565.94, Mã CB: OZ734</v>
      </c>
      <c r="E15" s="23" t="s">
        <v>36</v>
      </c>
      <c r="F15" s="24" t="s">
        <v>49</v>
      </c>
      <c r="G15" s="25" t="s">
        <v>47</v>
      </c>
      <c r="H15" s="26" t="s">
        <v>39</v>
      </c>
      <c r="I15" s="27" t="s">
        <v>40</v>
      </c>
      <c r="J15" s="27" t="s">
        <v>41</v>
      </c>
      <c r="K15" s="27" t="s">
        <v>42</v>
      </c>
      <c r="L15" s="28">
        <v>1</v>
      </c>
      <c r="M15" s="28">
        <v>1</v>
      </c>
      <c r="N15" s="29">
        <v>1</v>
      </c>
      <c r="O15" s="30">
        <f t="shared" si="1"/>
        <v>20000</v>
      </c>
      <c r="P15" s="31"/>
      <c r="Q15" s="30"/>
      <c r="R15" s="32">
        <v>5000</v>
      </c>
      <c r="S15" s="32"/>
      <c r="T15" s="30">
        <v>300000</v>
      </c>
      <c r="U15" s="30"/>
      <c r="V15" s="30"/>
      <c r="W15" s="30"/>
      <c r="X15" s="30">
        <f>SUM(O15:R15)</f>
        <v>25000</v>
      </c>
      <c r="Y15" s="30">
        <f>ROUND(X15*Z15+T15,0)</f>
        <v>757500</v>
      </c>
      <c r="Z15" s="33">
        <f>+VLOOKUP(B15,[2]Sheet1!$B:$D,3,0)</f>
        <v>18.3</v>
      </c>
      <c r="AA15" s="34"/>
    </row>
    <row r="16" spans="1:27" s="3" customFormat="1" ht="45" customHeight="1">
      <c r="A16" s="19">
        <v>5</v>
      </c>
      <c r="B16" s="20" t="s">
        <v>34</v>
      </c>
      <c r="C16" s="21" t="s">
        <v>50</v>
      </c>
      <c r="D16" s="22" t="str">
        <f t="shared" si="0"/>
        <v>Cước vận chuyển KCN Tiên Sơn - Hà Nội - SEOUL theo bill số 2002528010, BKS: 29D-565.94, Mã CB: OZ734</v>
      </c>
      <c r="E16" s="23" t="s">
        <v>36</v>
      </c>
      <c r="F16" s="24" t="s">
        <v>51</v>
      </c>
      <c r="G16" s="25" t="s">
        <v>38</v>
      </c>
      <c r="H16" s="26" t="s">
        <v>52</v>
      </c>
      <c r="I16" s="27" t="s">
        <v>40</v>
      </c>
      <c r="J16" s="27" t="s">
        <v>41</v>
      </c>
      <c r="K16" s="27" t="s">
        <v>42</v>
      </c>
      <c r="L16" s="28">
        <v>1</v>
      </c>
      <c r="M16" s="28">
        <v>6</v>
      </c>
      <c r="N16" s="29">
        <v>6</v>
      </c>
      <c r="O16" s="30">
        <f t="shared" si="1"/>
        <v>63750</v>
      </c>
      <c r="P16" s="31"/>
      <c r="Q16" s="30"/>
      <c r="R16" s="32">
        <v>10000</v>
      </c>
      <c r="S16" s="32"/>
      <c r="T16" s="30"/>
      <c r="U16" s="30"/>
      <c r="V16" s="30">
        <v>0</v>
      </c>
      <c r="W16" s="30">
        <v>0</v>
      </c>
      <c r="X16" s="30">
        <f t="shared" si="2"/>
        <v>73750</v>
      </c>
      <c r="Y16" s="30">
        <f t="shared" si="3"/>
        <v>1349625</v>
      </c>
      <c r="Z16" s="33">
        <f>+VLOOKUP(B16,[2]Sheet1!$B:$D,3,0)</f>
        <v>18.3</v>
      </c>
      <c r="AA16" s="34"/>
    </row>
    <row r="17" spans="1:27" s="3" customFormat="1" ht="45" customHeight="1">
      <c r="A17" s="19">
        <v>6</v>
      </c>
      <c r="B17" s="20" t="s">
        <v>53</v>
      </c>
      <c r="C17" s="21" t="s">
        <v>54</v>
      </c>
      <c r="D17" s="22" t="str">
        <f>+CONCATENATE("Cước vận chuyển KCN Tiên Sơn - Hà Nội - SEOUL theo bill số", " ", C17, ",", , " ", "BKS: 29D-565.94", ", ", "Mã CB: ", E17)</f>
        <v>Cước vận chuyển KCN Tiên Sơn - Hà Nội - SEOUL theo bill số 2002528029, BKS: 29D-565.94, Mã CB: OZ734</v>
      </c>
      <c r="E17" s="23" t="s">
        <v>36</v>
      </c>
      <c r="F17" s="24" t="s">
        <v>55</v>
      </c>
      <c r="G17" s="25" t="s">
        <v>38</v>
      </c>
      <c r="H17" s="26" t="s">
        <v>52</v>
      </c>
      <c r="I17" s="27" t="s">
        <v>40</v>
      </c>
      <c r="J17" s="27" t="s">
        <v>41</v>
      </c>
      <c r="K17" s="27" t="s">
        <v>42</v>
      </c>
      <c r="L17" s="28">
        <v>1</v>
      </c>
      <c r="M17" s="28">
        <v>1</v>
      </c>
      <c r="N17" s="29">
        <v>1</v>
      </c>
      <c r="O17" s="30">
        <f t="shared" si="1"/>
        <v>20000</v>
      </c>
      <c r="P17" s="31"/>
      <c r="Q17" s="30"/>
      <c r="R17" s="32">
        <v>5000</v>
      </c>
      <c r="S17" s="32"/>
      <c r="T17" s="30"/>
      <c r="U17" s="30"/>
      <c r="V17" s="30"/>
      <c r="W17" s="30"/>
      <c r="X17" s="30">
        <f>SUM(O17:R17)</f>
        <v>25000</v>
      </c>
      <c r="Y17" s="30">
        <f>ROUND(X17*Z17+T17,0)</f>
        <v>457250</v>
      </c>
      <c r="Z17" s="33">
        <f>+VLOOKUP(B17,[2]Sheet1!$B:$D,3,0)</f>
        <v>18.29</v>
      </c>
      <c r="AA17" s="34"/>
    </row>
    <row r="18" spans="1:27" s="3" customFormat="1" ht="45" customHeight="1">
      <c r="A18" s="19">
        <v>7</v>
      </c>
      <c r="B18" s="20" t="s">
        <v>56</v>
      </c>
      <c r="C18" s="21" t="s">
        <v>57</v>
      </c>
      <c r="D18" s="22" t="str">
        <f t="shared" si="0"/>
        <v>Cước vận chuyển KCN Tiên Sơn - Hà Nội - SEOUL theo bill số 2002528038, BKS: 29D-565.94, Mã CB: OZ734</v>
      </c>
      <c r="E18" s="23" t="s">
        <v>36</v>
      </c>
      <c r="F18" s="24" t="s">
        <v>58</v>
      </c>
      <c r="G18" s="25" t="s">
        <v>38</v>
      </c>
      <c r="H18" s="26" t="s">
        <v>52</v>
      </c>
      <c r="I18" s="27" t="s">
        <v>40</v>
      </c>
      <c r="J18" s="27" t="s">
        <v>41</v>
      </c>
      <c r="K18" s="27" t="s">
        <v>42</v>
      </c>
      <c r="L18" s="28">
        <v>1</v>
      </c>
      <c r="M18" s="28">
        <v>1</v>
      </c>
      <c r="N18" s="29">
        <v>1</v>
      </c>
      <c r="O18" s="30">
        <f t="shared" si="1"/>
        <v>20000</v>
      </c>
      <c r="P18" s="31"/>
      <c r="Q18" s="30"/>
      <c r="R18" s="32">
        <v>5000</v>
      </c>
      <c r="S18" s="32"/>
      <c r="T18" s="30"/>
      <c r="U18" s="30"/>
      <c r="V18" s="30"/>
      <c r="W18" s="30"/>
      <c r="X18" s="30">
        <f t="shared" si="2"/>
        <v>25000</v>
      </c>
      <c r="Y18" s="30">
        <f t="shared" si="3"/>
        <v>455250</v>
      </c>
      <c r="Z18" s="33">
        <f>+VLOOKUP(B18,[2]Sheet1!$B:$D,3,0)</f>
        <v>18.21</v>
      </c>
      <c r="AA18" s="34"/>
    </row>
    <row r="19" spans="1:27" s="3" customFormat="1" ht="45" customHeight="1">
      <c r="A19" s="19">
        <v>8</v>
      </c>
      <c r="B19" s="20" t="s">
        <v>59</v>
      </c>
      <c r="C19" s="21" t="s">
        <v>60</v>
      </c>
      <c r="D19" s="22" t="str">
        <f t="shared" si="0"/>
        <v>Cước vận chuyển KCN Tiên Sơn - Hà Nội - SEOUL theo bill số 2002528051, BKS: 29D-565.94, Mã CB: OZ734</v>
      </c>
      <c r="E19" s="23" t="s">
        <v>36</v>
      </c>
      <c r="F19" s="24" t="s">
        <v>61</v>
      </c>
      <c r="G19" s="25" t="s">
        <v>47</v>
      </c>
      <c r="H19" s="26" t="s">
        <v>39</v>
      </c>
      <c r="I19" s="27" t="s">
        <v>40</v>
      </c>
      <c r="J19" s="27" t="s">
        <v>41</v>
      </c>
      <c r="K19" s="27" t="s">
        <v>42</v>
      </c>
      <c r="L19" s="28">
        <v>1</v>
      </c>
      <c r="M19" s="28">
        <v>3</v>
      </c>
      <c r="N19" s="29">
        <v>3</v>
      </c>
      <c r="O19" s="30">
        <f t="shared" si="1"/>
        <v>37500</v>
      </c>
      <c r="P19" s="31"/>
      <c r="Q19" s="30"/>
      <c r="R19" s="32">
        <v>6000</v>
      </c>
      <c r="S19" s="32"/>
      <c r="T19" s="30">
        <v>300000</v>
      </c>
      <c r="U19" s="30"/>
      <c r="V19" s="30"/>
      <c r="W19" s="30"/>
      <c r="X19" s="30">
        <f t="shared" si="2"/>
        <v>43500</v>
      </c>
      <c r="Y19" s="30">
        <f t="shared" si="3"/>
        <v>1091700</v>
      </c>
      <c r="Z19" s="33">
        <f>+VLOOKUP(B19,[2]Sheet1!$B:$D,3,0)</f>
        <v>18.2</v>
      </c>
      <c r="AA19" s="34"/>
    </row>
    <row r="20" spans="1:27" s="3" customFormat="1" ht="45.75" customHeight="1">
      <c r="A20" s="19">
        <v>9</v>
      </c>
      <c r="B20" s="20" t="s">
        <v>59</v>
      </c>
      <c r="C20" s="21" t="s">
        <v>62</v>
      </c>
      <c r="D20" s="22" t="str">
        <f t="shared" si="0"/>
        <v>Cước vận chuyển KCN Tiên Sơn - Hà Nội - SEOUL theo bill số 2002528052, BKS: 29D-565.94, Mã CB: OZ734</v>
      </c>
      <c r="E20" s="23" t="s">
        <v>36</v>
      </c>
      <c r="F20" s="24" t="s">
        <v>63</v>
      </c>
      <c r="G20" s="25" t="s">
        <v>38</v>
      </c>
      <c r="H20" s="26" t="s">
        <v>52</v>
      </c>
      <c r="I20" s="27" t="s">
        <v>40</v>
      </c>
      <c r="J20" s="27" t="s">
        <v>41</v>
      </c>
      <c r="K20" s="27" t="s">
        <v>42</v>
      </c>
      <c r="L20" s="28">
        <v>1</v>
      </c>
      <c r="M20" s="28">
        <v>5</v>
      </c>
      <c r="N20" s="29">
        <v>5</v>
      </c>
      <c r="O20" s="30">
        <f t="shared" si="1"/>
        <v>55000</v>
      </c>
      <c r="P20" s="31"/>
      <c r="Q20" s="30"/>
      <c r="R20" s="32">
        <v>10000</v>
      </c>
      <c r="S20" s="32"/>
      <c r="T20" s="30"/>
      <c r="U20" s="30"/>
      <c r="V20" s="30">
        <v>0</v>
      </c>
      <c r="W20" s="30">
        <v>0</v>
      </c>
      <c r="X20" s="30">
        <f t="shared" si="2"/>
        <v>65000</v>
      </c>
      <c r="Y20" s="30">
        <f t="shared" si="3"/>
        <v>1183000</v>
      </c>
      <c r="Z20" s="33">
        <f>+VLOOKUP(B20,[2]Sheet1!$B:$D,3,0)</f>
        <v>18.2</v>
      </c>
      <c r="AA20" s="34"/>
    </row>
    <row r="21" spans="1:27" s="3" customFormat="1" ht="45" customHeight="1">
      <c r="A21" s="19">
        <v>10</v>
      </c>
      <c r="B21" s="20" t="s">
        <v>64</v>
      </c>
      <c r="C21" s="21" t="s">
        <v>65</v>
      </c>
      <c r="D21" s="22" t="str">
        <f t="shared" si="0"/>
        <v>Cước vận chuyển KCN Tiên Sơn - Hà Nội - SEOUL theo bill số 2002527914, BKS: 29D-565.94, Mã CB: OZ734</v>
      </c>
      <c r="E21" s="23" t="s">
        <v>36</v>
      </c>
      <c r="F21" s="24" t="s">
        <v>66</v>
      </c>
      <c r="G21" s="25" t="s">
        <v>38</v>
      </c>
      <c r="H21" s="26" t="s">
        <v>39</v>
      </c>
      <c r="I21" s="27" t="s">
        <v>40</v>
      </c>
      <c r="J21" s="27" t="s">
        <v>41</v>
      </c>
      <c r="K21" s="27" t="s">
        <v>42</v>
      </c>
      <c r="L21" s="28">
        <v>1</v>
      </c>
      <c r="M21" s="28">
        <v>1</v>
      </c>
      <c r="N21" s="29">
        <v>1</v>
      </c>
      <c r="O21" s="30">
        <f t="shared" si="1"/>
        <v>20000</v>
      </c>
      <c r="P21" s="31"/>
      <c r="Q21" s="30"/>
      <c r="R21" s="32">
        <v>5000</v>
      </c>
      <c r="S21" s="32"/>
      <c r="T21" s="30"/>
      <c r="U21" s="30"/>
      <c r="V21" s="30"/>
      <c r="W21" s="30"/>
      <c r="X21" s="30">
        <f t="shared" si="2"/>
        <v>25000</v>
      </c>
      <c r="Y21" s="30">
        <f t="shared" si="3"/>
        <v>456750</v>
      </c>
      <c r="Z21" s="33">
        <f>+VLOOKUP(B21,[2]Sheet1!$B:$D,3,0)</f>
        <v>18.27</v>
      </c>
      <c r="AA21" s="34"/>
    </row>
    <row r="22" spans="1:27" s="3" customFormat="1" ht="45" customHeight="1">
      <c r="A22" s="19">
        <v>11</v>
      </c>
      <c r="B22" s="20" t="s">
        <v>67</v>
      </c>
      <c r="C22" s="21" t="s">
        <v>68</v>
      </c>
      <c r="D22" s="22" t="str">
        <f t="shared" si="0"/>
        <v>Cước vận chuyển KCN Tiên Sơn - Hà Nội - SEOUL theo bill số 2002528175, BKS: 29D-565.94, Mã CB: OZ734</v>
      </c>
      <c r="E22" s="23" t="s">
        <v>36</v>
      </c>
      <c r="F22" s="24" t="s">
        <v>69</v>
      </c>
      <c r="G22" s="25" t="s">
        <v>38</v>
      </c>
      <c r="H22" s="26" t="s">
        <v>39</v>
      </c>
      <c r="I22" s="27" t="s">
        <v>40</v>
      </c>
      <c r="J22" s="27" t="s">
        <v>41</v>
      </c>
      <c r="K22" s="27" t="s">
        <v>42</v>
      </c>
      <c r="L22" s="28">
        <v>1</v>
      </c>
      <c r="M22" s="28">
        <v>2</v>
      </c>
      <c r="N22" s="29">
        <v>2</v>
      </c>
      <c r="O22" s="30">
        <f t="shared" si="1"/>
        <v>28750</v>
      </c>
      <c r="P22" s="31"/>
      <c r="Q22" s="30"/>
      <c r="R22" s="32">
        <v>5000</v>
      </c>
      <c r="S22" s="32"/>
      <c r="T22" s="30"/>
      <c r="U22" s="30"/>
      <c r="V22" s="30">
        <v>0</v>
      </c>
      <c r="W22" s="30">
        <v>0</v>
      </c>
      <c r="X22" s="30">
        <f t="shared" si="2"/>
        <v>33750</v>
      </c>
      <c r="Y22" s="30">
        <f t="shared" si="3"/>
        <v>616275</v>
      </c>
      <c r="Z22" s="33">
        <f>+VLOOKUP(B22,[2]Sheet1!$B:$D,3,0)</f>
        <v>18.260000000000002</v>
      </c>
      <c r="AA22" s="34"/>
    </row>
    <row r="23" spans="1:27" s="3" customFormat="1" ht="45" customHeight="1">
      <c r="A23" s="19">
        <v>12</v>
      </c>
      <c r="B23" s="20" t="s">
        <v>70</v>
      </c>
      <c r="C23" s="21" t="s">
        <v>71</v>
      </c>
      <c r="D23" s="22" t="str">
        <f t="shared" si="0"/>
        <v>Cước vận chuyển KCN Tiên Sơn - Hà Nội - SEOUL theo bill số 2002528195, BKS: 29D-565.94, Mã CB: OZ734</v>
      </c>
      <c r="E23" s="23" t="s">
        <v>36</v>
      </c>
      <c r="F23" s="24" t="s">
        <v>72</v>
      </c>
      <c r="G23" s="25" t="s">
        <v>47</v>
      </c>
      <c r="H23" s="26" t="s">
        <v>39</v>
      </c>
      <c r="I23" s="27" t="s">
        <v>40</v>
      </c>
      <c r="J23" s="27" t="s">
        <v>41</v>
      </c>
      <c r="K23" s="27" t="s">
        <v>42</v>
      </c>
      <c r="L23" s="28">
        <v>3</v>
      </c>
      <c r="M23" s="28">
        <v>114</v>
      </c>
      <c r="N23" s="29">
        <v>114</v>
      </c>
      <c r="O23" s="30">
        <f t="shared" si="1"/>
        <v>1008750</v>
      </c>
      <c r="P23" s="31"/>
      <c r="Q23" s="30"/>
      <c r="R23" s="32">
        <v>100000</v>
      </c>
      <c r="S23" s="32"/>
      <c r="T23" s="30">
        <v>300000</v>
      </c>
      <c r="U23" s="30"/>
      <c r="V23" s="30"/>
      <c r="W23" s="30"/>
      <c r="X23" s="30">
        <f t="shared" si="2"/>
        <v>1108750</v>
      </c>
      <c r="Y23" s="30">
        <f t="shared" si="3"/>
        <v>20468163</v>
      </c>
      <c r="Z23" s="33">
        <f>+VLOOKUP(B23,[2]Sheet1!$B:$D,3,0)</f>
        <v>18.190000000000001</v>
      </c>
      <c r="AA23" s="34"/>
    </row>
    <row r="24" spans="1:27" s="3" customFormat="1" ht="45" customHeight="1">
      <c r="A24" s="19">
        <v>13</v>
      </c>
      <c r="B24" s="20" t="s">
        <v>73</v>
      </c>
      <c r="C24" s="21" t="s">
        <v>74</v>
      </c>
      <c r="D24" s="22" t="str">
        <f t="shared" si="0"/>
        <v>Cước vận chuyển KCN Tiên Sơn - Hà Nội - SEOUL theo bill số 2002528188, BKS: 29D-565.94, Mã CB: OZ734</v>
      </c>
      <c r="E24" s="23" t="s">
        <v>36</v>
      </c>
      <c r="F24" s="24" t="s">
        <v>75</v>
      </c>
      <c r="G24" s="25" t="s">
        <v>38</v>
      </c>
      <c r="H24" s="26" t="s">
        <v>39</v>
      </c>
      <c r="I24" s="27" t="s">
        <v>40</v>
      </c>
      <c r="J24" s="27" t="s">
        <v>41</v>
      </c>
      <c r="K24" s="27" t="s">
        <v>42</v>
      </c>
      <c r="L24" s="28">
        <v>1</v>
      </c>
      <c r="M24" s="28">
        <v>2</v>
      </c>
      <c r="N24" s="29">
        <v>2</v>
      </c>
      <c r="O24" s="30">
        <f t="shared" si="1"/>
        <v>28750</v>
      </c>
      <c r="P24" s="31"/>
      <c r="Q24" s="30"/>
      <c r="R24" s="32">
        <v>35000</v>
      </c>
      <c r="S24" s="32"/>
      <c r="T24" s="30"/>
      <c r="U24" s="30"/>
      <c r="V24" s="30"/>
      <c r="W24" s="30"/>
      <c r="X24" s="30">
        <f t="shared" si="2"/>
        <v>63750</v>
      </c>
      <c r="Y24" s="30">
        <f t="shared" si="3"/>
        <v>1159613</v>
      </c>
      <c r="Z24" s="33">
        <f>+VLOOKUP(B24,[2]Sheet1!$B:$D,3,0)</f>
        <v>18.190000000000001</v>
      </c>
      <c r="AA24" s="34"/>
    </row>
    <row r="25" spans="1:27" s="3" customFormat="1" ht="45" customHeight="1">
      <c r="A25" s="19">
        <v>14</v>
      </c>
      <c r="B25" s="20" t="s">
        <v>73</v>
      </c>
      <c r="C25" s="21" t="s">
        <v>76</v>
      </c>
      <c r="D25" s="22" t="str">
        <f t="shared" si="0"/>
        <v>Cước vận chuyển KCN Tiên Sơn - Hà Nội - SEOUL theo bill số 2002528189, BKS: 29D-565.94, Mã CB: OZ734</v>
      </c>
      <c r="E25" s="23" t="s">
        <v>36</v>
      </c>
      <c r="F25" s="24" t="s">
        <v>77</v>
      </c>
      <c r="G25" s="25" t="s">
        <v>38</v>
      </c>
      <c r="H25" s="26" t="s">
        <v>39</v>
      </c>
      <c r="I25" s="27" t="s">
        <v>40</v>
      </c>
      <c r="J25" s="27" t="s">
        <v>41</v>
      </c>
      <c r="K25" s="27" t="s">
        <v>42</v>
      </c>
      <c r="L25" s="28">
        <v>1</v>
      </c>
      <c r="M25" s="28">
        <v>1</v>
      </c>
      <c r="N25" s="29">
        <v>1</v>
      </c>
      <c r="O25" s="30">
        <f t="shared" si="1"/>
        <v>20000</v>
      </c>
      <c r="P25" s="31"/>
      <c r="Q25" s="30"/>
      <c r="R25" s="32">
        <v>5000</v>
      </c>
      <c r="S25" s="32"/>
      <c r="T25" s="30"/>
      <c r="U25" s="30"/>
      <c r="V25" s="30">
        <v>0</v>
      </c>
      <c r="W25" s="30">
        <v>0</v>
      </c>
      <c r="X25" s="30">
        <f t="shared" si="2"/>
        <v>25000</v>
      </c>
      <c r="Y25" s="30">
        <f t="shared" si="3"/>
        <v>454750</v>
      </c>
      <c r="Z25" s="33">
        <f>+VLOOKUP(B25,[2]Sheet1!$B:$D,3,0)</f>
        <v>18.190000000000001</v>
      </c>
      <c r="AA25" s="34"/>
    </row>
    <row r="26" spans="1:27" s="3" customFormat="1" ht="45" customHeight="1">
      <c r="A26" s="19">
        <v>15</v>
      </c>
      <c r="B26" s="20" t="s">
        <v>78</v>
      </c>
      <c r="C26" s="21" t="s">
        <v>79</v>
      </c>
      <c r="D26" s="22" t="str">
        <f t="shared" si="0"/>
        <v>Cước vận chuyển KCN Tiên Sơn - Hà Nội - SEOUL theo bill số 2002528226, BKS: 29D-565.94, Mã CB: OZ734</v>
      </c>
      <c r="E26" s="23" t="s">
        <v>36</v>
      </c>
      <c r="F26" s="24" t="s">
        <v>80</v>
      </c>
      <c r="G26" s="25" t="s">
        <v>38</v>
      </c>
      <c r="H26" s="26" t="s">
        <v>39</v>
      </c>
      <c r="I26" s="27" t="s">
        <v>40</v>
      </c>
      <c r="J26" s="27" t="s">
        <v>41</v>
      </c>
      <c r="K26" s="27" t="s">
        <v>42</v>
      </c>
      <c r="L26" s="28">
        <v>1</v>
      </c>
      <c r="M26" s="28">
        <v>1</v>
      </c>
      <c r="N26" s="29">
        <v>1</v>
      </c>
      <c r="O26" s="30">
        <f t="shared" si="1"/>
        <v>20000</v>
      </c>
      <c r="P26" s="31"/>
      <c r="Q26" s="30"/>
      <c r="R26" s="32">
        <v>45000</v>
      </c>
      <c r="S26" s="32"/>
      <c r="T26" s="30"/>
      <c r="U26" s="30"/>
      <c r="V26" s="30">
        <v>0</v>
      </c>
      <c r="W26" s="30">
        <v>0</v>
      </c>
      <c r="X26" s="30">
        <f t="shared" si="2"/>
        <v>65000</v>
      </c>
      <c r="Y26" s="30">
        <f t="shared" si="3"/>
        <v>1184950</v>
      </c>
      <c r="Z26" s="33">
        <f>+VLOOKUP(B26,[2]Sheet1!$B:$D,3,0)</f>
        <v>18.23</v>
      </c>
      <c r="AA26" s="34"/>
    </row>
    <row r="27" spans="1:27" s="3" customFormat="1" ht="45" customHeight="1">
      <c r="A27" s="19">
        <v>16</v>
      </c>
      <c r="B27" s="20" t="s">
        <v>81</v>
      </c>
      <c r="C27" s="21" t="s">
        <v>82</v>
      </c>
      <c r="D27" s="22" t="str">
        <f t="shared" si="0"/>
        <v>Cước vận chuyển KCN Tiên Sơn - Hà Nội - SEOUL theo bill số 2002528214, BKS: 29D-565.94, Mã CB: OZ734</v>
      </c>
      <c r="E27" s="23" t="s">
        <v>36</v>
      </c>
      <c r="F27" s="24" t="s">
        <v>77</v>
      </c>
      <c r="G27" s="25" t="s">
        <v>83</v>
      </c>
      <c r="H27" s="26" t="s">
        <v>84</v>
      </c>
      <c r="I27" s="27" t="s">
        <v>40</v>
      </c>
      <c r="J27" s="27" t="s">
        <v>41</v>
      </c>
      <c r="K27" s="27" t="s">
        <v>42</v>
      </c>
      <c r="L27" s="28">
        <v>1</v>
      </c>
      <c r="M27" s="28">
        <v>7</v>
      </c>
      <c r="N27" s="29">
        <v>7</v>
      </c>
      <c r="O27" s="30">
        <f t="shared" si="1"/>
        <v>72500</v>
      </c>
      <c r="P27" s="31"/>
      <c r="Q27" s="30"/>
      <c r="R27" s="32">
        <v>6000</v>
      </c>
      <c r="S27" s="32"/>
      <c r="T27" s="30"/>
      <c r="U27" s="30"/>
      <c r="V27" s="30"/>
      <c r="W27" s="30"/>
      <c r="X27" s="30">
        <f t="shared" si="2"/>
        <v>78500</v>
      </c>
      <c r="Y27" s="30">
        <f t="shared" si="3"/>
        <v>1421635</v>
      </c>
      <c r="Z27" s="33">
        <f>+VLOOKUP(B27,[2]Sheet1!$B:$D,3,0)</f>
        <v>18.11</v>
      </c>
      <c r="AA27" s="34"/>
    </row>
    <row r="28" spans="1:27" s="3" customFormat="1" ht="45" customHeight="1">
      <c r="A28" s="19">
        <v>17</v>
      </c>
      <c r="B28" s="20" t="s">
        <v>81</v>
      </c>
      <c r="C28" s="21" t="s">
        <v>85</v>
      </c>
      <c r="D28" s="22" t="str">
        <f t="shared" si="0"/>
        <v>Cước vận chuyển KCN Tiên Sơn - Hà Nội - SEOUL theo bill số 2002528213, BKS: 29D-565.94, Mã CB: OZ734</v>
      </c>
      <c r="E28" s="23" t="s">
        <v>36</v>
      </c>
      <c r="F28" s="24" t="s">
        <v>86</v>
      </c>
      <c r="G28" s="25" t="s">
        <v>87</v>
      </c>
      <c r="H28" s="26" t="s">
        <v>39</v>
      </c>
      <c r="I28" s="27" t="s">
        <v>40</v>
      </c>
      <c r="J28" s="27" t="s">
        <v>41</v>
      </c>
      <c r="K28" s="27" t="s">
        <v>42</v>
      </c>
      <c r="L28" s="28">
        <v>1</v>
      </c>
      <c r="M28" s="28">
        <v>4</v>
      </c>
      <c r="N28" s="29">
        <v>4</v>
      </c>
      <c r="O28" s="30">
        <f t="shared" si="1"/>
        <v>46250</v>
      </c>
      <c r="P28" s="31"/>
      <c r="Q28" s="30"/>
      <c r="R28" s="32">
        <v>5000</v>
      </c>
      <c r="S28" s="32"/>
      <c r="T28" s="30">
        <v>300000</v>
      </c>
      <c r="U28" s="30"/>
      <c r="V28" s="30"/>
      <c r="W28" s="30"/>
      <c r="X28" s="30">
        <f t="shared" si="2"/>
        <v>51250</v>
      </c>
      <c r="Y28" s="30">
        <f t="shared" si="3"/>
        <v>1228138</v>
      </c>
      <c r="Z28" s="33">
        <f>+VLOOKUP(B28,[2]Sheet1!$B:$D,3,0)</f>
        <v>18.11</v>
      </c>
      <c r="AA28" s="34"/>
    </row>
    <row r="29" spans="1:27" s="3" customFormat="1" ht="45" customHeight="1">
      <c r="A29" s="19">
        <v>18</v>
      </c>
      <c r="B29" s="20" t="s">
        <v>81</v>
      </c>
      <c r="C29" s="21" t="s">
        <v>88</v>
      </c>
      <c r="D29" s="22" t="str">
        <f t="shared" si="0"/>
        <v>Cước vận chuyển KCN Tiên Sơn - Hà Nội - SEOUL theo bill số 2002528215, BKS: 29D-565.94, Mã CB: OZ734</v>
      </c>
      <c r="E29" s="23" t="s">
        <v>36</v>
      </c>
      <c r="F29" s="24" t="s">
        <v>89</v>
      </c>
      <c r="G29" s="25" t="s">
        <v>90</v>
      </c>
      <c r="H29" s="26" t="s">
        <v>39</v>
      </c>
      <c r="I29" s="27" t="s">
        <v>40</v>
      </c>
      <c r="J29" s="27" t="s">
        <v>41</v>
      </c>
      <c r="K29" s="27" t="s">
        <v>42</v>
      </c>
      <c r="L29" s="28">
        <v>1</v>
      </c>
      <c r="M29" s="28">
        <v>1</v>
      </c>
      <c r="N29" s="29">
        <v>1</v>
      </c>
      <c r="O29" s="30">
        <f t="shared" si="1"/>
        <v>20000</v>
      </c>
      <c r="P29" s="31"/>
      <c r="Q29" s="30"/>
      <c r="R29" s="32">
        <v>5000</v>
      </c>
      <c r="S29" s="32"/>
      <c r="T29" s="30">
        <v>300000</v>
      </c>
      <c r="U29" s="30"/>
      <c r="V29" s="30"/>
      <c r="W29" s="30"/>
      <c r="X29" s="30">
        <f t="shared" si="2"/>
        <v>25000</v>
      </c>
      <c r="Y29" s="30">
        <f t="shared" si="3"/>
        <v>752750</v>
      </c>
      <c r="Z29" s="33">
        <f>+VLOOKUP(B29,[2]Sheet1!$B:$D,3,0)</f>
        <v>18.11</v>
      </c>
      <c r="AA29" s="34"/>
    </row>
    <row r="30" spans="1:27" s="3" customFormat="1" ht="45" customHeight="1">
      <c r="A30" s="19">
        <v>19</v>
      </c>
      <c r="B30" s="20" t="s">
        <v>91</v>
      </c>
      <c r="C30" s="21" t="s">
        <v>92</v>
      </c>
      <c r="D30" s="22" t="str">
        <f t="shared" si="0"/>
        <v>Cước vận chuyển KCN Tiên Sơn - Hà Nội - SEOUL theo bill số 2002527920, BKS: 29D-565.94, Mã CB: OZ734</v>
      </c>
      <c r="E30" s="23" t="s">
        <v>36</v>
      </c>
      <c r="F30" s="24" t="s">
        <v>93</v>
      </c>
      <c r="G30" s="25" t="s">
        <v>94</v>
      </c>
      <c r="H30" s="26" t="s">
        <v>39</v>
      </c>
      <c r="I30" s="27" t="s">
        <v>40</v>
      </c>
      <c r="J30" s="27" t="s">
        <v>41</v>
      </c>
      <c r="K30" s="27" t="s">
        <v>42</v>
      </c>
      <c r="L30" s="28">
        <v>1</v>
      </c>
      <c r="M30" s="28">
        <v>9</v>
      </c>
      <c r="N30" s="29">
        <v>9</v>
      </c>
      <c r="O30" s="30">
        <f t="shared" si="1"/>
        <v>90000</v>
      </c>
      <c r="P30" s="31"/>
      <c r="Q30" s="30"/>
      <c r="R30" s="32">
        <v>40000</v>
      </c>
      <c r="S30" s="32"/>
      <c r="T30" s="30">
        <v>300000</v>
      </c>
      <c r="U30" s="30"/>
      <c r="V30" s="30">
        <v>0</v>
      </c>
      <c r="W30" s="30">
        <v>0</v>
      </c>
      <c r="X30" s="30">
        <f t="shared" si="2"/>
        <v>130000</v>
      </c>
      <c r="Y30" s="30">
        <f t="shared" si="3"/>
        <v>2636100</v>
      </c>
      <c r="Z30" s="33">
        <f>+VLOOKUP(B30,[2]Sheet1!$B:$D,3,0)</f>
        <v>17.97</v>
      </c>
      <c r="AA30" s="34"/>
    </row>
    <row r="31" spans="1:27" s="3" customFormat="1" ht="43.5" customHeight="1">
      <c r="A31" s="19">
        <v>20</v>
      </c>
      <c r="B31" s="20" t="s">
        <v>95</v>
      </c>
      <c r="C31" s="21" t="s">
        <v>96</v>
      </c>
      <c r="D31" s="22" t="str">
        <f t="shared" si="0"/>
        <v>Cước vận chuyển KCN Tiên Sơn - Hà Nội - SEOUL theo bill số 2002528409, BKS: 29D-565.94, Mã CB: OZ734</v>
      </c>
      <c r="E31" s="23" t="s">
        <v>36</v>
      </c>
      <c r="F31" s="24" t="s">
        <v>66</v>
      </c>
      <c r="G31" s="25" t="s">
        <v>97</v>
      </c>
      <c r="H31" s="26" t="s">
        <v>39</v>
      </c>
      <c r="I31" s="27" t="s">
        <v>40</v>
      </c>
      <c r="J31" s="27" t="s">
        <v>41</v>
      </c>
      <c r="K31" s="27" t="s">
        <v>42</v>
      </c>
      <c r="L31" s="28">
        <v>1</v>
      </c>
      <c r="M31" s="28">
        <v>1</v>
      </c>
      <c r="N31" s="29">
        <v>1</v>
      </c>
      <c r="O31" s="30">
        <f t="shared" si="1"/>
        <v>20000</v>
      </c>
      <c r="P31" s="31"/>
      <c r="Q31" s="30"/>
      <c r="R31" s="32">
        <v>5000</v>
      </c>
      <c r="S31" s="32"/>
      <c r="T31" s="30"/>
      <c r="U31" s="30"/>
      <c r="V31" s="30"/>
      <c r="W31" s="30"/>
      <c r="X31" s="30">
        <f t="shared" si="2"/>
        <v>25000</v>
      </c>
      <c r="Y31" s="30">
        <f t="shared" si="3"/>
        <v>445500</v>
      </c>
      <c r="Z31" s="33">
        <f>+VLOOKUP(B31,[2]Sheet1!$B:$D,3,0)</f>
        <v>17.82</v>
      </c>
      <c r="AA31" s="34"/>
    </row>
    <row r="32" spans="1:27" s="3" customFormat="1" ht="45" customHeight="1">
      <c r="A32" s="19">
        <v>21</v>
      </c>
      <c r="B32" s="20" t="s">
        <v>98</v>
      </c>
      <c r="C32" s="21" t="s">
        <v>99</v>
      </c>
      <c r="D32" s="22" t="str">
        <f t="shared" si="0"/>
        <v>Cước vận chuyển KCN Tiên Sơn - Hà Nội - SEOUL theo bill số 2002528493, BKS: 29D-565.94, Mã CB: OZ734</v>
      </c>
      <c r="E32" s="23" t="s">
        <v>36</v>
      </c>
      <c r="F32" s="24" t="s">
        <v>100</v>
      </c>
      <c r="G32" s="25" t="s">
        <v>94</v>
      </c>
      <c r="H32" s="26" t="s">
        <v>39</v>
      </c>
      <c r="I32" s="27" t="s">
        <v>40</v>
      </c>
      <c r="J32" s="27" t="s">
        <v>41</v>
      </c>
      <c r="K32" s="27" t="s">
        <v>42</v>
      </c>
      <c r="L32" s="28">
        <v>1</v>
      </c>
      <c r="M32" s="28">
        <v>10.5</v>
      </c>
      <c r="N32" s="29">
        <v>10.5</v>
      </c>
      <c r="O32" s="30">
        <f t="shared" si="1"/>
        <v>103125</v>
      </c>
      <c r="P32" s="31"/>
      <c r="Q32" s="30"/>
      <c r="R32" s="32">
        <v>50000</v>
      </c>
      <c r="S32" s="32"/>
      <c r="T32" s="30">
        <v>300000</v>
      </c>
      <c r="U32" s="30"/>
      <c r="V32" s="30"/>
      <c r="W32" s="30"/>
      <c r="X32" s="30">
        <f t="shared" si="2"/>
        <v>153125</v>
      </c>
      <c r="Y32" s="30">
        <f t="shared" si="3"/>
        <v>3028688</v>
      </c>
      <c r="Z32" s="33">
        <f>+VLOOKUP(B32,[2]Sheet1!$B:$D,3,0)</f>
        <v>17.82</v>
      </c>
      <c r="AA32" s="34"/>
    </row>
    <row r="33" spans="1:27" s="3" customFormat="1" ht="45" customHeight="1">
      <c r="A33" s="19">
        <v>22</v>
      </c>
      <c r="B33" s="20" t="s">
        <v>98</v>
      </c>
      <c r="C33" s="21" t="s">
        <v>101</v>
      </c>
      <c r="D33" s="22" t="str">
        <f t="shared" si="0"/>
        <v>Cước vận chuyển KCN Tiên Sơn - Hà Nội - SEOUL theo bill số 2002528499, BKS: 29D-565.94, Mã CB: OZ734</v>
      </c>
      <c r="E33" s="23" t="s">
        <v>36</v>
      </c>
      <c r="F33" s="24" t="s">
        <v>102</v>
      </c>
      <c r="G33" s="25" t="s">
        <v>94</v>
      </c>
      <c r="H33" s="26" t="s">
        <v>39</v>
      </c>
      <c r="I33" s="27" t="s">
        <v>40</v>
      </c>
      <c r="J33" s="27" t="s">
        <v>41</v>
      </c>
      <c r="K33" s="27" t="s">
        <v>42</v>
      </c>
      <c r="L33" s="28">
        <v>1</v>
      </c>
      <c r="M33" s="28">
        <v>3</v>
      </c>
      <c r="N33" s="29">
        <v>3</v>
      </c>
      <c r="O33" s="30">
        <f t="shared" si="1"/>
        <v>37500</v>
      </c>
      <c r="P33" s="31"/>
      <c r="Q33" s="30"/>
      <c r="R33" s="32">
        <v>5000</v>
      </c>
      <c r="S33" s="32"/>
      <c r="T33" s="30">
        <v>300000</v>
      </c>
      <c r="U33" s="30"/>
      <c r="V33" s="30"/>
      <c r="W33" s="30"/>
      <c r="X33" s="30">
        <f t="shared" si="2"/>
        <v>42500</v>
      </c>
      <c r="Y33" s="30">
        <f t="shared" si="3"/>
        <v>1057350</v>
      </c>
      <c r="Z33" s="33">
        <f>+VLOOKUP(B33,[2]Sheet1!$B:$D,3,0)</f>
        <v>17.82</v>
      </c>
      <c r="AA33" s="34"/>
    </row>
    <row r="34" spans="1:27" s="3" customFormat="1" ht="45" customHeight="1">
      <c r="A34" s="19">
        <v>23</v>
      </c>
      <c r="B34" s="20" t="s">
        <v>103</v>
      </c>
      <c r="C34" s="21" t="s">
        <v>104</v>
      </c>
      <c r="D34" s="22" t="str">
        <f t="shared" si="0"/>
        <v>Cước vận chuyển KCN Tiên Sơn - Hà Nội - SEOUL theo bill số 2002528526, BKS: 29D-565.94, Mã CB: OZ734</v>
      </c>
      <c r="E34" s="23" t="s">
        <v>36</v>
      </c>
      <c r="F34" s="24" t="s">
        <v>75</v>
      </c>
      <c r="G34" s="25" t="s">
        <v>97</v>
      </c>
      <c r="H34" s="26" t="s">
        <v>39</v>
      </c>
      <c r="I34" s="27" t="s">
        <v>40</v>
      </c>
      <c r="J34" s="27" t="s">
        <v>41</v>
      </c>
      <c r="K34" s="27" t="s">
        <v>42</v>
      </c>
      <c r="L34" s="28">
        <v>1</v>
      </c>
      <c r="M34" s="28">
        <v>1</v>
      </c>
      <c r="N34" s="29">
        <v>1</v>
      </c>
      <c r="O34" s="30">
        <f t="shared" si="1"/>
        <v>20000</v>
      </c>
      <c r="P34" s="31"/>
      <c r="Q34" s="30"/>
      <c r="R34" s="32">
        <v>5000</v>
      </c>
      <c r="S34" s="32"/>
      <c r="T34" s="30"/>
      <c r="U34" s="30"/>
      <c r="V34" s="30"/>
      <c r="W34" s="30"/>
      <c r="X34" s="30">
        <f t="shared" ref="X34:X53" si="4">SUM(O34:R34)</f>
        <v>25000</v>
      </c>
      <c r="Y34" s="30">
        <f t="shared" si="3"/>
        <v>443500</v>
      </c>
      <c r="Z34" s="33">
        <f>+VLOOKUP(B34,[2]Sheet1!$B:$D,3,0)</f>
        <v>17.739999999999998</v>
      </c>
      <c r="AA34" s="34"/>
    </row>
    <row r="35" spans="1:27" s="3" customFormat="1" ht="46.5" customHeight="1">
      <c r="A35" s="19">
        <v>24</v>
      </c>
      <c r="B35" s="20" t="s">
        <v>103</v>
      </c>
      <c r="C35" s="21" t="s">
        <v>105</v>
      </c>
      <c r="D35" s="22" t="str">
        <f t="shared" si="0"/>
        <v>Cước vận chuyển KCN Tiên Sơn - Hà Nội - SEOUL theo bill số 2002528527, BKS: 29D-565.94, Mã CB: OZ734</v>
      </c>
      <c r="E35" s="23" t="s">
        <v>36</v>
      </c>
      <c r="F35" s="24" t="s">
        <v>106</v>
      </c>
      <c r="G35" s="25" t="s">
        <v>38</v>
      </c>
      <c r="H35" s="26" t="s">
        <v>39</v>
      </c>
      <c r="I35" s="27" t="s">
        <v>40</v>
      </c>
      <c r="J35" s="27" t="s">
        <v>41</v>
      </c>
      <c r="K35" s="27" t="s">
        <v>42</v>
      </c>
      <c r="L35" s="28">
        <v>1</v>
      </c>
      <c r="M35" s="28">
        <v>1</v>
      </c>
      <c r="N35" s="29">
        <v>1</v>
      </c>
      <c r="O35" s="30">
        <f t="shared" si="1"/>
        <v>20000</v>
      </c>
      <c r="P35" s="31"/>
      <c r="Q35" s="30"/>
      <c r="R35" s="32">
        <v>45000</v>
      </c>
      <c r="S35" s="32"/>
      <c r="T35" s="30"/>
      <c r="U35" s="30"/>
      <c r="V35" s="30">
        <v>0</v>
      </c>
      <c r="W35" s="30">
        <v>0</v>
      </c>
      <c r="X35" s="30">
        <f t="shared" si="4"/>
        <v>65000</v>
      </c>
      <c r="Y35" s="30">
        <f t="shared" si="3"/>
        <v>1153100</v>
      </c>
      <c r="Z35" s="33">
        <f>+VLOOKUP(B35,[2]Sheet1!$B:$D,3,0)</f>
        <v>17.739999999999998</v>
      </c>
      <c r="AA35" s="34"/>
    </row>
    <row r="36" spans="1:27" s="3" customFormat="1" ht="45" customHeight="1">
      <c r="A36" s="19">
        <v>25</v>
      </c>
      <c r="B36" s="20" t="s">
        <v>107</v>
      </c>
      <c r="C36" s="21" t="s">
        <v>108</v>
      </c>
      <c r="D36" s="22" t="str">
        <f t="shared" si="0"/>
        <v>Cước vận chuyển KCN Tiên Sơn - Hà Nội - SEOUL theo bill số 2002528551, BKS: 29D-565.94, Mã CB: OZ734</v>
      </c>
      <c r="E36" s="23" t="s">
        <v>36</v>
      </c>
      <c r="F36" s="24" t="s">
        <v>109</v>
      </c>
      <c r="G36" s="25" t="s">
        <v>110</v>
      </c>
      <c r="H36" s="26" t="s">
        <v>111</v>
      </c>
      <c r="I36" s="27" t="s">
        <v>40</v>
      </c>
      <c r="J36" s="27" t="s">
        <v>41</v>
      </c>
      <c r="K36" s="27" t="s">
        <v>42</v>
      </c>
      <c r="L36" s="28">
        <v>1</v>
      </c>
      <c r="M36" s="28">
        <v>16</v>
      </c>
      <c r="N36" s="29">
        <v>16</v>
      </c>
      <c r="O36" s="30">
        <f t="shared" si="1"/>
        <v>151250</v>
      </c>
      <c r="P36" s="31"/>
      <c r="Q36" s="30"/>
      <c r="R36" s="32">
        <v>10000</v>
      </c>
      <c r="S36" s="32"/>
      <c r="T36" s="30">
        <v>300000</v>
      </c>
      <c r="U36" s="30"/>
      <c r="V36" s="30"/>
      <c r="W36" s="30"/>
      <c r="X36" s="30">
        <f t="shared" si="4"/>
        <v>161250</v>
      </c>
      <c r="Y36" s="30">
        <f t="shared" si="3"/>
        <v>3215400</v>
      </c>
      <c r="Z36" s="33">
        <f>+VLOOKUP(B36,[2]Sheet1!$B:$D,3,0)</f>
        <v>18.079999999999998</v>
      </c>
      <c r="AA36" s="34"/>
    </row>
    <row r="37" spans="1:27" s="3" customFormat="1" ht="45" customHeight="1">
      <c r="A37" s="19">
        <v>26</v>
      </c>
      <c r="B37" s="20" t="s">
        <v>112</v>
      </c>
      <c r="C37" s="21" t="s">
        <v>113</v>
      </c>
      <c r="D37" s="22" t="str">
        <f t="shared" si="0"/>
        <v>Cước vận chuyển KCN Tiên Sơn - Hà Nội - SEOUL theo bill số 2002528598, BKS: 29D-565.94, Mã CB: OZ734</v>
      </c>
      <c r="E37" s="23" t="s">
        <v>36</v>
      </c>
      <c r="F37" s="24" t="s">
        <v>114</v>
      </c>
      <c r="G37" s="25" t="s">
        <v>110</v>
      </c>
      <c r="H37" s="26" t="s">
        <v>111</v>
      </c>
      <c r="I37" s="27" t="s">
        <v>40</v>
      </c>
      <c r="J37" s="27" t="s">
        <v>41</v>
      </c>
      <c r="K37" s="27" t="s">
        <v>42</v>
      </c>
      <c r="L37" s="28">
        <v>3</v>
      </c>
      <c r="M37" s="28">
        <v>25</v>
      </c>
      <c r="N37" s="29">
        <v>25</v>
      </c>
      <c r="O37" s="30">
        <f t="shared" si="1"/>
        <v>230000</v>
      </c>
      <c r="P37" s="31"/>
      <c r="Q37" s="30"/>
      <c r="R37" s="32">
        <v>24000</v>
      </c>
      <c r="S37" s="32"/>
      <c r="T37" s="30">
        <v>300000</v>
      </c>
      <c r="U37" s="30"/>
      <c r="V37" s="30"/>
      <c r="W37" s="30"/>
      <c r="X37" s="30">
        <f t="shared" si="4"/>
        <v>254000</v>
      </c>
      <c r="Y37" s="30">
        <f t="shared" si="3"/>
        <v>4889780</v>
      </c>
      <c r="Z37" s="33">
        <f>+VLOOKUP(B37,[2]Sheet1!$B:$D,3,0)</f>
        <v>18.07</v>
      </c>
      <c r="AA37" s="34"/>
    </row>
    <row r="38" spans="1:27" s="3" customFormat="1" ht="45" customHeight="1">
      <c r="A38" s="19">
        <v>27</v>
      </c>
      <c r="B38" s="20" t="s">
        <v>115</v>
      </c>
      <c r="C38" s="21" t="s">
        <v>116</v>
      </c>
      <c r="D38" s="22" t="str">
        <f t="shared" si="0"/>
        <v>Cước vận chuyển KCN Tiên Sơn - Hà Nội - SEOUL theo bill số 2002528767, BKS: 29D-565.94, Mã CB: KJ374</v>
      </c>
      <c r="E38" s="23" t="s">
        <v>117</v>
      </c>
      <c r="F38" s="24" t="s">
        <v>118</v>
      </c>
      <c r="G38" s="25" t="s">
        <v>119</v>
      </c>
      <c r="H38" s="26" t="s">
        <v>111</v>
      </c>
      <c r="I38" s="27" t="s">
        <v>40</v>
      </c>
      <c r="J38" s="27" t="s">
        <v>41</v>
      </c>
      <c r="K38" s="27" t="s">
        <v>42</v>
      </c>
      <c r="L38" s="28">
        <v>1</v>
      </c>
      <c r="M38" s="28">
        <v>1</v>
      </c>
      <c r="N38" s="29">
        <v>1</v>
      </c>
      <c r="O38" s="30">
        <f t="shared" si="1"/>
        <v>20000</v>
      </c>
      <c r="P38" s="31"/>
      <c r="Q38" s="30"/>
      <c r="R38" s="32">
        <v>5000</v>
      </c>
      <c r="S38" s="32"/>
      <c r="T38" s="30"/>
      <c r="U38" s="30"/>
      <c r="V38" s="30"/>
      <c r="W38" s="30"/>
      <c r="X38" s="30">
        <f t="shared" si="4"/>
        <v>25000</v>
      </c>
      <c r="Y38" s="30">
        <f t="shared" si="3"/>
        <v>452500</v>
      </c>
      <c r="Z38" s="33">
        <f>+VLOOKUP(B38,[2]Sheet1!$B:$D,3,0)</f>
        <v>18.100000000000001</v>
      </c>
      <c r="AA38" s="34"/>
    </row>
    <row r="39" spans="1:27" s="3" customFormat="1" ht="45" customHeight="1">
      <c r="A39" s="19">
        <v>28</v>
      </c>
      <c r="B39" s="20" t="s">
        <v>115</v>
      </c>
      <c r="C39" s="21" t="s">
        <v>120</v>
      </c>
      <c r="D39" s="22" t="str">
        <f t="shared" si="0"/>
        <v>Cước vận chuyển KCN Tiên Sơn - Hà Nội - SEOUL theo bill số 2002528768, BKS: 29D-565.94, Mã CB: KJ374</v>
      </c>
      <c r="E39" s="23" t="s">
        <v>117</v>
      </c>
      <c r="F39" s="24" t="s">
        <v>77</v>
      </c>
      <c r="G39" s="25" t="s">
        <v>119</v>
      </c>
      <c r="H39" s="26" t="s">
        <v>111</v>
      </c>
      <c r="I39" s="27" t="s">
        <v>40</v>
      </c>
      <c r="J39" s="27" t="s">
        <v>41</v>
      </c>
      <c r="K39" s="27" t="s">
        <v>42</v>
      </c>
      <c r="L39" s="28">
        <v>1</v>
      </c>
      <c r="M39" s="28">
        <v>1</v>
      </c>
      <c r="N39" s="29">
        <v>1</v>
      </c>
      <c r="O39" s="30">
        <f t="shared" si="1"/>
        <v>20000</v>
      </c>
      <c r="P39" s="31"/>
      <c r="Q39" s="30"/>
      <c r="R39" s="32">
        <v>5000</v>
      </c>
      <c r="S39" s="32"/>
      <c r="T39" s="30"/>
      <c r="U39" s="30"/>
      <c r="V39" s="30"/>
      <c r="W39" s="30"/>
      <c r="X39" s="30">
        <f t="shared" si="4"/>
        <v>25000</v>
      </c>
      <c r="Y39" s="30">
        <f t="shared" si="3"/>
        <v>452500</v>
      </c>
      <c r="Z39" s="33">
        <f>+VLOOKUP(B39,[2]Sheet1!$B:$D,3,0)</f>
        <v>18.100000000000001</v>
      </c>
      <c r="AA39" s="34"/>
    </row>
    <row r="40" spans="1:27" s="3" customFormat="1" ht="45" customHeight="1">
      <c r="A40" s="19">
        <v>29</v>
      </c>
      <c r="B40" s="20" t="s">
        <v>121</v>
      </c>
      <c r="C40" s="21" t="s">
        <v>122</v>
      </c>
      <c r="D40" s="22" t="str">
        <f t="shared" si="0"/>
        <v>Cước vận chuyển KCN Tiên Sơn - Hà Nội - SEOUL theo bill số 2002528848, BKS: 29D-565.94, Mã CB: OZ734</v>
      </c>
      <c r="E40" s="23" t="s">
        <v>36</v>
      </c>
      <c r="F40" s="24" t="s">
        <v>123</v>
      </c>
      <c r="G40" s="25" t="s">
        <v>110</v>
      </c>
      <c r="H40" s="26" t="s">
        <v>52</v>
      </c>
      <c r="I40" s="27" t="s">
        <v>40</v>
      </c>
      <c r="J40" s="27" t="s">
        <v>41</v>
      </c>
      <c r="K40" s="27" t="s">
        <v>42</v>
      </c>
      <c r="L40" s="28">
        <v>2</v>
      </c>
      <c r="M40" s="28">
        <v>21</v>
      </c>
      <c r="N40" s="29">
        <v>21</v>
      </c>
      <c r="O40" s="30">
        <f t="shared" si="1"/>
        <v>195000</v>
      </c>
      <c r="P40" s="31"/>
      <c r="Q40" s="30"/>
      <c r="R40" s="32">
        <v>12000</v>
      </c>
      <c r="S40" s="32"/>
      <c r="T40" s="30">
        <v>300000</v>
      </c>
      <c r="U40" s="30"/>
      <c r="V40" s="30"/>
      <c r="W40" s="30"/>
      <c r="X40" s="30">
        <f t="shared" si="4"/>
        <v>207000</v>
      </c>
      <c r="Y40" s="30">
        <f t="shared" si="3"/>
        <v>4046700</v>
      </c>
      <c r="Z40" s="33">
        <f>+VLOOKUP(B40,[2]Sheet1!$B:$D,3,0)</f>
        <v>18.100000000000001</v>
      </c>
      <c r="AA40" s="34"/>
    </row>
    <row r="41" spans="1:27" s="3" customFormat="1" ht="45" customHeight="1">
      <c r="A41" s="19">
        <v>30</v>
      </c>
      <c r="B41" s="20" t="s">
        <v>124</v>
      </c>
      <c r="C41" s="21" t="s">
        <v>125</v>
      </c>
      <c r="D41" s="22" t="str">
        <f t="shared" si="0"/>
        <v>Cước vận chuyển KCN Tiên Sơn - Hà Nội - SEOUL theo bill số 2002528876, BKS: 29D-565.94, Mã CB: OZ734</v>
      </c>
      <c r="E41" s="23" t="s">
        <v>36</v>
      </c>
      <c r="F41" s="24" t="s">
        <v>126</v>
      </c>
      <c r="G41" s="25" t="s">
        <v>119</v>
      </c>
      <c r="H41" s="26" t="s">
        <v>52</v>
      </c>
      <c r="I41" s="27" t="s">
        <v>40</v>
      </c>
      <c r="J41" s="27" t="s">
        <v>41</v>
      </c>
      <c r="K41" s="27" t="s">
        <v>42</v>
      </c>
      <c r="L41" s="28">
        <v>1</v>
      </c>
      <c r="M41" s="28">
        <v>1</v>
      </c>
      <c r="N41" s="29">
        <v>1</v>
      </c>
      <c r="O41" s="30">
        <f t="shared" si="1"/>
        <v>20000</v>
      </c>
      <c r="P41" s="31"/>
      <c r="Q41" s="30"/>
      <c r="R41" s="32">
        <v>5000</v>
      </c>
      <c r="S41" s="32"/>
      <c r="T41" s="30"/>
      <c r="U41" s="30"/>
      <c r="V41" s="30"/>
      <c r="W41" s="30"/>
      <c r="X41" s="30">
        <f t="shared" si="4"/>
        <v>25000</v>
      </c>
      <c r="Y41" s="30">
        <f t="shared" si="3"/>
        <v>453250</v>
      </c>
      <c r="Z41" s="33">
        <f>+VLOOKUP(B41,[2]Sheet1!$B:$D,3,0)</f>
        <v>18.13</v>
      </c>
      <c r="AA41" s="34"/>
    </row>
    <row r="42" spans="1:27" s="3" customFormat="1" ht="45" customHeight="1">
      <c r="A42" s="19">
        <v>31</v>
      </c>
      <c r="B42" s="20" t="s">
        <v>127</v>
      </c>
      <c r="C42" s="21" t="s">
        <v>128</v>
      </c>
      <c r="D42" s="22" t="str">
        <f t="shared" si="0"/>
        <v>Cước vận chuyển KCN Tiên Sơn - Hà Nội - SEOUL theo bill số 2002489755, BKS: 29D-565.94, Mã CB: OZ734</v>
      </c>
      <c r="E42" s="23" t="s">
        <v>36</v>
      </c>
      <c r="F42" s="24" t="s">
        <v>129</v>
      </c>
      <c r="G42" s="25" t="s">
        <v>110</v>
      </c>
      <c r="H42" s="26" t="s">
        <v>39</v>
      </c>
      <c r="I42" s="27" t="s">
        <v>40</v>
      </c>
      <c r="J42" s="27" t="s">
        <v>41</v>
      </c>
      <c r="K42" s="27" t="s">
        <v>42</v>
      </c>
      <c r="L42" s="28">
        <v>1</v>
      </c>
      <c r="M42" s="28">
        <v>4.5</v>
      </c>
      <c r="N42" s="29">
        <v>4.5</v>
      </c>
      <c r="O42" s="30">
        <f t="shared" si="1"/>
        <v>50625</v>
      </c>
      <c r="P42" s="31"/>
      <c r="Q42" s="30"/>
      <c r="R42" s="32">
        <v>5000</v>
      </c>
      <c r="S42" s="32"/>
      <c r="T42" s="30">
        <v>300000</v>
      </c>
      <c r="U42" s="30"/>
      <c r="V42" s="30"/>
      <c r="W42" s="30"/>
      <c r="X42" s="30">
        <f t="shared" si="4"/>
        <v>55625</v>
      </c>
      <c r="Y42" s="30">
        <f t="shared" si="3"/>
        <v>1306813</v>
      </c>
      <c r="Z42" s="33">
        <f>+VLOOKUP(B42,[2]Sheet1!$B:$D,3,0)</f>
        <v>18.100000000000001</v>
      </c>
      <c r="AA42" s="34"/>
    </row>
    <row r="43" spans="1:27" s="3" customFormat="1" ht="45" customHeight="1">
      <c r="A43" s="19">
        <v>32</v>
      </c>
      <c r="B43" s="20" t="s">
        <v>127</v>
      </c>
      <c r="C43" s="21" t="s">
        <v>130</v>
      </c>
      <c r="D43" s="22" t="str">
        <f t="shared" si="0"/>
        <v>Cước vận chuyển KCN Tiên Sơn - Hà Nội - SEOUL theo bill số 2002489754, BKS: 29D-565.94, Mã CB: OZ734</v>
      </c>
      <c r="E43" s="23" t="s">
        <v>36</v>
      </c>
      <c r="F43" s="24" t="s">
        <v>69</v>
      </c>
      <c r="G43" s="25" t="s">
        <v>110</v>
      </c>
      <c r="H43" s="26" t="s">
        <v>131</v>
      </c>
      <c r="I43" s="27" t="s">
        <v>40</v>
      </c>
      <c r="J43" s="27" t="s">
        <v>41</v>
      </c>
      <c r="K43" s="27" t="s">
        <v>42</v>
      </c>
      <c r="L43" s="28">
        <v>1</v>
      </c>
      <c r="M43" s="28">
        <v>153</v>
      </c>
      <c r="N43" s="29">
        <v>153</v>
      </c>
      <c r="O43" s="30">
        <f t="shared" si="1"/>
        <v>1350000</v>
      </c>
      <c r="P43" s="31"/>
      <c r="Q43" s="30"/>
      <c r="R43" s="32">
        <v>77100</v>
      </c>
      <c r="S43" s="32"/>
      <c r="T43" s="30">
        <v>300000</v>
      </c>
      <c r="U43" s="30"/>
      <c r="V43" s="30"/>
      <c r="W43" s="30"/>
      <c r="X43" s="30">
        <f t="shared" si="4"/>
        <v>1427100</v>
      </c>
      <c r="Y43" s="30">
        <f t="shared" si="3"/>
        <v>26130510</v>
      </c>
      <c r="Z43" s="33">
        <f>+VLOOKUP(B43,[2]Sheet1!$B:$D,3,0)</f>
        <v>18.100000000000001</v>
      </c>
      <c r="AA43" s="34"/>
    </row>
    <row r="44" spans="1:27" s="3" customFormat="1" ht="45" customHeight="1">
      <c r="A44" s="19">
        <v>33</v>
      </c>
      <c r="B44" s="20" t="s">
        <v>127</v>
      </c>
      <c r="C44" s="21" t="s">
        <v>132</v>
      </c>
      <c r="D44" s="22" t="str">
        <f t="shared" si="0"/>
        <v>Cước vận chuyển KCN Tiên Sơn - Hà Nội - SEOUL theo bill số 2002528935, BKS: 29D-565.94, Mã CB: OZ734</v>
      </c>
      <c r="E44" s="23" t="s">
        <v>36</v>
      </c>
      <c r="F44" s="24" t="s">
        <v>133</v>
      </c>
      <c r="G44" s="25" t="s">
        <v>119</v>
      </c>
      <c r="H44" s="26" t="s">
        <v>52</v>
      </c>
      <c r="I44" s="27" t="s">
        <v>40</v>
      </c>
      <c r="J44" s="27" t="s">
        <v>41</v>
      </c>
      <c r="K44" s="27" t="s">
        <v>42</v>
      </c>
      <c r="L44" s="28">
        <v>1</v>
      </c>
      <c r="M44" s="28">
        <v>1</v>
      </c>
      <c r="N44" s="29">
        <v>1</v>
      </c>
      <c r="O44" s="30">
        <f t="shared" si="1"/>
        <v>20000</v>
      </c>
      <c r="P44" s="31"/>
      <c r="Q44" s="30"/>
      <c r="R44" s="32">
        <v>5000</v>
      </c>
      <c r="S44" s="32"/>
      <c r="T44" s="30"/>
      <c r="U44" s="30"/>
      <c r="V44" s="30"/>
      <c r="W44" s="30"/>
      <c r="X44" s="30">
        <f t="shared" si="4"/>
        <v>25000</v>
      </c>
      <c r="Y44" s="30">
        <f t="shared" si="3"/>
        <v>452500</v>
      </c>
      <c r="Z44" s="33">
        <f>+VLOOKUP(B44,[2]Sheet1!$B:$D,3,0)</f>
        <v>18.100000000000001</v>
      </c>
      <c r="AA44" s="34"/>
    </row>
    <row r="45" spans="1:27" s="3" customFormat="1" ht="45" customHeight="1">
      <c r="A45" s="19">
        <v>34</v>
      </c>
      <c r="B45" s="20" t="s">
        <v>127</v>
      </c>
      <c r="C45" s="21" t="s">
        <v>134</v>
      </c>
      <c r="D45" s="22" t="str">
        <f t="shared" si="0"/>
        <v>Cước vận chuyển KCN Tiên Sơn - Hà Nội - SEOUL theo bill số 2002489753, BKS: 29D-565.94, Mã CB: OZ734</v>
      </c>
      <c r="E45" s="23" t="s">
        <v>36</v>
      </c>
      <c r="F45" s="24" t="s">
        <v>135</v>
      </c>
      <c r="G45" s="25" t="s">
        <v>119</v>
      </c>
      <c r="H45" s="26" t="s">
        <v>136</v>
      </c>
      <c r="I45" s="27" t="s">
        <v>40</v>
      </c>
      <c r="J45" s="27" t="s">
        <v>41</v>
      </c>
      <c r="K45" s="27" t="s">
        <v>42</v>
      </c>
      <c r="L45" s="28">
        <v>10</v>
      </c>
      <c r="M45" s="28">
        <v>220</v>
      </c>
      <c r="N45" s="29">
        <v>220</v>
      </c>
      <c r="O45" s="30">
        <f>20000+(N45-1)*8750</f>
        <v>1936250</v>
      </c>
      <c r="P45" s="31"/>
      <c r="Q45" s="30"/>
      <c r="R45" s="32">
        <v>100000</v>
      </c>
      <c r="S45" s="32"/>
      <c r="T45" s="30"/>
      <c r="U45" s="30"/>
      <c r="V45" s="30"/>
      <c r="W45" s="30"/>
      <c r="X45" s="30">
        <f t="shared" si="4"/>
        <v>2036250</v>
      </c>
      <c r="Y45" s="30">
        <f t="shared" si="3"/>
        <v>36856125</v>
      </c>
      <c r="Z45" s="33">
        <f>+VLOOKUP(B45,[2]Sheet1!$B:$D,3,0)</f>
        <v>18.100000000000001</v>
      </c>
      <c r="AA45" s="34"/>
    </row>
    <row r="46" spans="1:27" s="3" customFormat="1" ht="45" customHeight="1">
      <c r="A46" s="19">
        <v>35</v>
      </c>
      <c r="B46" s="20" t="s">
        <v>137</v>
      </c>
      <c r="C46" s="21" t="s">
        <v>138</v>
      </c>
      <c r="D46" s="22"/>
      <c r="E46" s="23" t="s">
        <v>36</v>
      </c>
      <c r="F46" s="24" t="s">
        <v>139</v>
      </c>
      <c r="G46" s="25" t="s">
        <v>110</v>
      </c>
      <c r="H46" s="26" t="s">
        <v>39</v>
      </c>
      <c r="I46" s="27" t="s">
        <v>40</v>
      </c>
      <c r="J46" s="27" t="s">
        <v>41</v>
      </c>
      <c r="K46" s="27" t="s">
        <v>42</v>
      </c>
      <c r="L46" s="28">
        <v>1</v>
      </c>
      <c r="M46" s="28">
        <v>3</v>
      </c>
      <c r="N46" s="29">
        <v>3</v>
      </c>
      <c r="O46" s="30">
        <f t="shared" ref="O46:O53" si="5">20000+(N46-1)*8750</f>
        <v>37500</v>
      </c>
      <c r="P46" s="31"/>
      <c r="Q46" s="30"/>
      <c r="R46" s="32">
        <v>5000</v>
      </c>
      <c r="S46" s="32"/>
      <c r="T46" s="30">
        <v>300000</v>
      </c>
      <c r="U46" s="30"/>
      <c r="V46" s="30"/>
      <c r="W46" s="30"/>
      <c r="X46" s="30">
        <f t="shared" si="4"/>
        <v>42500</v>
      </c>
      <c r="Y46" s="30">
        <f t="shared" si="3"/>
        <v>1070950</v>
      </c>
      <c r="Z46" s="33">
        <f>+VLOOKUP(B46,[2]Sheet1!$B:$D,3,0)</f>
        <v>18.14</v>
      </c>
      <c r="AA46" s="34"/>
    </row>
    <row r="47" spans="1:27" s="3" customFormat="1" ht="45" customHeight="1">
      <c r="A47" s="19">
        <v>36</v>
      </c>
      <c r="B47" s="20" t="s">
        <v>137</v>
      </c>
      <c r="C47" s="21" t="s">
        <v>140</v>
      </c>
      <c r="D47" s="22"/>
      <c r="E47" s="23" t="s">
        <v>36</v>
      </c>
      <c r="F47" s="24" t="s">
        <v>141</v>
      </c>
      <c r="G47" s="25" t="s">
        <v>119</v>
      </c>
      <c r="H47" s="26" t="s">
        <v>52</v>
      </c>
      <c r="I47" s="27" t="s">
        <v>40</v>
      </c>
      <c r="J47" s="27" t="s">
        <v>41</v>
      </c>
      <c r="K47" s="27" t="s">
        <v>42</v>
      </c>
      <c r="L47" s="28">
        <v>1</v>
      </c>
      <c r="M47" s="28">
        <v>1</v>
      </c>
      <c r="N47" s="29">
        <v>1</v>
      </c>
      <c r="O47" s="30">
        <f t="shared" si="5"/>
        <v>20000</v>
      </c>
      <c r="P47" s="31"/>
      <c r="Q47" s="30"/>
      <c r="R47" s="32">
        <v>5000</v>
      </c>
      <c r="S47" s="32"/>
      <c r="T47" s="30"/>
      <c r="U47" s="30"/>
      <c r="V47" s="30"/>
      <c r="W47" s="30"/>
      <c r="X47" s="30">
        <f t="shared" si="4"/>
        <v>25000</v>
      </c>
      <c r="Y47" s="30">
        <f t="shared" si="3"/>
        <v>453500</v>
      </c>
      <c r="Z47" s="33">
        <f>+VLOOKUP(B47,[2]Sheet1!$B:$D,3,0)</f>
        <v>18.14</v>
      </c>
      <c r="AA47" s="34"/>
    </row>
    <row r="48" spans="1:27" s="3" customFormat="1" ht="45" customHeight="1">
      <c r="A48" s="19">
        <v>37</v>
      </c>
      <c r="B48" s="20" t="s">
        <v>142</v>
      </c>
      <c r="C48" s="21" t="s">
        <v>143</v>
      </c>
      <c r="D48" s="22"/>
      <c r="E48" s="23" t="s">
        <v>36</v>
      </c>
      <c r="F48" s="24" t="s">
        <v>144</v>
      </c>
      <c r="G48" s="25" t="s">
        <v>110</v>
      </c>
      <c r="H48" s="26" t="s">
        <v>39</v>
      </c>
      <c r="I48" s="27" t="s">
        <v>40</v>
      </c>
      <c r="J48" s="27" t="s">
        <v>41</v>
      </c>
      <c r="K48" s="27" t="s">
        <v>42</v>
      </c>
      <c r="L48" s="28">
        <v>1</v>
      </c>
      <c r="M48" s="28">
        <v>14</v>
      </c>
      <c r="N48" s="29">
        <v>14</v>
      </c>
      <c r="O48" s="30">
        <f t="shared" si="5"/>
        <v>133750</v>
      </c>
      <c r="P48" s="31"/>
      <c r="Q48" s="30"/>
      <c r="R48" s="32">
        <v>40000</v>
      </c>
      <c r="S48" s="32"/>
      <c r="T48" s="30">
        <v>300000</v>
      </c>
      <c r="U48" s="30"/>
      <c r="V48" s="30"/>
      <c r="W48" s="30"/>
      <c r="X48" s="30">
        <f t="shared" si="4"/>
        <v>173750</v>
      </c>
      <c r="Y48" s="30">
        <f t="shared" si="3"/>
        <v>3479625</v>
      </c>
      <c r="Z48" s="33">
        <f>+VLOOKUP(B48,[2]Sheet1!$B:$D,3,0)</f>
        <v>18.3</v>
      </c>
      <c r="AA48" s="34"/>
    </row>
    <row r="49" spans="1:28" s="3" customFormat="1" ht="45" customHeight="1">
      <c r="A49" s="19">
        <v>38</v>
      </c>
      <c r="B49" s="20" t="s">
        <v>142</v>
      </c>
      <c r="C49" s="21" t="s">
        <v>145</v>
      </c>
      <c r="D49" s="22"/>
      <c r="E49" s="23" t="s">
        <v>36</v>
      </c>
      <c r="F49" s="24" t="s">
        <v>75</v>
      </c>
      <c r="G49" s="25" t="s">
        <v>119</v>
      </c>
      <c r="H49" s="26" t="s">
        <v>52</v>
      </c>
      <c r="I49" s="27" t="s">
        <v>40</v>
      </c>
      <c r="J49" s="27" t="s">
        <v>41</v>
      </c>
      <c r="K49" s="27" t="s">
        <v>42</v>
      </c>
      <c r="L49" s="28">
        <v>1</v>
      </c>
      <c r="M49" s="28">
        <v>1</v>
      </c>
      <c r="N49" s="29">
        <v>1</v>
      </c>
      <c r="O49" s="30">
        <f t="shared" si="5"/>
        <v>20000</v>
      </c>
      <c r="P49" s="31"/>
      <c r="Q49" s="30"/>
      <c r="R49" s="32">
        <v>5000</v>
      </c>
      <c r="S49" s="32"/>
      <c r="T49" s="30"/>
      <c r="U49" s="30"/>
      <c r="V49" s="30"/>
      <c r="W49" s="30"/>
      <c r="X49" s="30">
        <f t="shared" si="4"/>
        <v>25000</v>
      </c>
      <c r="Y49" s="30">
        <f t="shared" si="3"/>
        <v>457500</v>
      </c>
      <c r="Z49" s="33">
        <f>+VLOOKUP(B49,[2]Sheet1!$B:$D,3,0)</f>
        <v>18.3</v>
      </c>
      <c r="AA49" s="34"/>
    </row>
    <row r="50" spans="1:28" s="3" customFormat="1" ht="45" customHeight="1">
      <c r="A50" s="19">
        <v>39</v>
      </c>
      <c r="B50" s="20" t="s">
        <v>146</v>
      </c>
      <c r="C50" s="21" t="s">
        <v>147</v>
      </c>
      <c r="D50" s="22"/>
      <c r="E50" s="23" t="s">
        <v>36</v>
      </c>
      <c r="F50" s="24" t="s">
        <v>148</v>
      </c>
      <c r="G50" s="25" t="s">
        <v>110</v>
      </c>
      <c r="H50" s="26" t="s">
        <v>136</v>
      </c>
      <c r="I50" s="27" t="s">
        <v>40</v>
      </c>
      <c r="J50" s="27" t="s">
        <v>41</v>
      </c>
      <c r="K50" s="27" t="s">
        <v>42</v>
      </c>
      <c r="L50" s="28">
        <v>1</v>
      </c>
      <c r="M50" s="28">
        <v>31</v>
      </c>
      <c r="N50" s="29">
        <v>31</v>
      </c>
      <c r="O50" s="30">
        <f t="shared" si="5"/>
        <v>282500</v>
      </c>
      <c r="P50" s="31"/>
      <c r="Q50" s="30"/>
      <c r="R50" s="32">
        <v>60000</v>
      </c>
      <c r="S50" s="32"/>
      <c r="T50" s="30">
        <v>300000</v>
      </c>
      <c r="U50" s="30"/>
      <c r="V50" s="30"/>
      <c r="W50" s="30"/>
      <c r="X50" s="30">
        <f t="shared" si="4"/>
        <v>342500</v>
      </c>
      <c r="Y50" s="30">
        <f t="shared" si="3"/>
        <v>6410200</v>
      </c>
      <c r="Z50" s="33">
        <f>+VLOOKUP(B50,[2]Sheet1!$B:$D,3,0)</f>
        <v>17.84</v>
      </c>
      <c r="AA50" s="34"/>
    </row>
    <row r="51" spans="1:28" s="3" customFormat="1" ht="45" customHeight="1">
      <c r="A51" s="19">
        <v>40</v>
      </c>
      <c r="B51" s="20" t="s">
        <v>149</v>
      </c>
      <c r="C51" s="21">
        <v>2002521938</v>
      </c>
      <c r="D51" s="22"/>
      <c r="E51" s="23" t="s">
        <v>36</v>
      </c>
      <c r="F51" s="24" t="s">
        <v>69</v>
      </c>
      <c r="G51" s="25" t="s">
        <v>110</v>
      </c>
      <c r="H51" s="26" t="s">
        <v>39</v>
      </c>
      <c r="I51" s="27" t="s">
        <v>40</v>
      </c>
      <c r="J51" s="27" t="s">
        <v>41</v>
      </c>
      <c r="K51" s="27" t="s">
        <v>42</v>
      </c>
      <c r="L51" s="28">
        <v>1</v>
      </c>
      <c r="M51" s="28">
        <v>32</v>
      </c>
      <c r="N51" s="29">
        <v>32</v>
      </c>
      <c r="O51" s="30">
        <f t="shared" si="5"/>
        <v>291250</v>
      </c>
      <c r="P51" s="31"/>
      <c r="Q51" s="30"/>
      <c r="R51" s="32">
        <v>21000</v>
      </c>
      <c r="S51" s="32"/>
      <c r="T51" s="30">
        <v>300000</v>
      </c>
      <c r="U51" s="30"/>
      <c r="V51" s="30"/>
      <c r="W51" s="30"/>
      <c r="X51" s="30">
        <f t="shared" si="4"/>
        <v>312250</v>
      </c>
      <c r="Y51" s="30">
        <f t="shared" si="3"/>
        <v>5870540</v>
      </c>
      <c r="Z51" s="33">
        <f>+VLOOKUP(B51,[2]Sheet1!$B:$D,3,0)</f>
        <v>17.84</v>
      </c>
      <c r="AA51" s="34"/>
    </row>
    <row r="52" spans="1:28" s="3" customFormat="1" ht="45" customHeight="1">
      <c r="A52" s="19">
        <v>41</v>
      </c>
      <c r="B52" s="20" t="s">
        <v>149</v>
      </c>
      <c r="C52" s="21">
        <v>2002521947</v>
      </c>
      <c r="D52" s="22"/>
      <c r="E52" s="23" t="s">
        <v>36</v>
      </c>
      <c r="F52" s="24" t="s">
        <v>150</v>
      </c>
      <c r="G52" s="25" t="s">
        <v>110</v>
      </c>
      <c r="H52" s="26" t="s">
        <v>39</v>
      </c>
      <c r="I52" s="27" t="s">
        <v>40</v>
      </c>
      <c r="J52" s="27" t="s">
        <v>41</v>
      </c>
      <c r="K52" s="27" t="s">
        <v>42</v>
      </c>
      <c r="L52" s="28">
        <v>1</v>
      </c>
      <c r="M52" s="28">
        <v>14</v>
      </c>
      <c r="N52" s="29">
        <v>14</v>
      </c>
      <c r="O52" s="30">
        <f t="shared" si="5"/>
        <v>133750</v>
      </c>
      <c r="P52" s="31"/>
      <c r="Q52" s="30"/>
      <c r="R52" s="32">
        <v>35000</v>
      </c>
      <c r="S52" s="32"/>
      <c r="T52" s="30">
        <v>300000</v>
      </c>
      <c r="U52" s="30"/>
      <c r="V52" s="30"/>
      <c r="W52" s="30"/>
      <c r="X52" s="30">
        <f t="shared" si="4"/>
        <v>168750</v>
      </c>
      <c r="Y52" s="30">
        <f t="shared" si="3"/>
        <v>3310500</v>
      </c>
      <c r="Z52" s="33">
        <f>+VLOOKUP(B52,[2]Sheet1!$B:$D,3,0)</f>
        <v>17.84</v>
      </c>
      <c r="AA52" s="34"/>
    </row>
    <row r="53" spans="1:28" s="3" customFormat="1" ht="45" customHeight="1">
      <c r="A53" s="19">
        <v>42</v>
      </c>
      <c r="B53" s="20" t="s">
        <v>149</v>
      </c>
      <c r="C53" s="21">
        <v>2002521949</v>
      </c>
      <c r="D53" s="22"/>
      <c r="E53" s="23" t="s">
        <v>36</v>
      </c>
      <c r="F53" s="24" t="s">
        <v>151</v>
      </c>
      <c r="G53" s="25" t="s">
        <v>110</v>
      </c>
      <c r="H53" s="26" t="s">
        <v>39</v>
      </c>
      <c r="I53" s="27" t="s">
        <v>40</v>
      </c>
      <c r="J53" s="27" t="s">
        <v>41</v>
      </c>
      <c r="K53" s="27" t="s">
        <v>42</v>
      </c>
      <c r="L53" s="28">
        <v>2</v>
      </c>
      <c r="M53" s="28">
        <v>17</v>
      </c>
      <c r="N53" s="29">
        <v>17</v>
      </c>
      <c r="O53" s="30">
        <f t="shared" si="5"/>
        <v>160000</v>
      </c>
      <c r="P53" s="31"/>
      <c r="Q53" s="30"/>
      <c r="R53" s="32">
        <v>10000</v>
      </c>
      <c r="S53" s="32"/>
      <c r="T53" s="30">
        <v>300000</v>
      </c>
      <c r="U53" s="30"/>
      <c r="V53" s="30"/>
      <c r="W53" s="30"/>
      <c r="X53" s="30">
        <f t="shared" si="4"/>
        <v>170000</v>
      </c>
      <c r="Y53" s="30">
        <f t="shared" si="3"/>
        <v>3332800</v>
      </c>
      <c r="Z53" s="33">
        <f>+VLOOKUP(B53,[2]Sheet1!$B:$D,3,0)</f>
        <v>17.84</v>
      </c>
      <c r="AA53" s="34"/>
    </row>
    <row r="54" spans="1:28" s="38" customFormat="1" ht="28.5" customHeight="1">
      <c r="A54" s="65" t="s">
        <v>152</v>
      </c>
      <c r="B54" s="65"/>
      <c r="C54" s="65"/>
      <c r="D54" s="65"/>
      <c r="E54" s="65"/>
      <c r="F54" s="65"/>
      <c r="G54" s="65"/>
      <c r="H54" s="65"/>
      <c r="I54" s="65"/>
      <c r="J54" s="65"/>
      <c r="K54" s="65"/>
      <c r="L54" s="35">
        <f t="shared" ref="L54:Y54" si="6">SUM(L12:L53)</f>
        <v>57</v>
      </c>
      <c r="M54" s="35">
        <f t="shared" si="6"/>
        <v>738</v>
      </c>
      <c r="N54" s="35">
        <f t="shared" si="6"/>
        <v>738</v>
      </c>
      <c r="O54" s="35">
        <f t="shared" si="6"/>
        <v>6930000</v>
      </c>
      <c r="P54" s="35">
        <f t="shared" si="6"/>
        <v>0</v>
      </c>
      <c r="Q54" s="35">
        <f t="shared" si="6"/>
        <v>0</v>
      </c>
      <c r="R54" s="35">
        <f t="shared" si="6"/>
        <v>891100</v>
      </c>
      <c r="S54" s="35">
        <f t="shared" si="6"/>
        <v>0</v>
      </c>
      <c r="T54" s="35">
        <f t="shared" si="6"/>
        <v>6000000</v>
      </c>
      <c r="U54" s="35">
        <f t="shared" si="6"/>
        <v>0</v>
      </c>
      <c r="V54" s="35">
        <f t="shared" si="6"/>
        <v>0</v>
      </c>
      <c r="W54" s="35">
        <f t="shared" si="6"/>
        <v>0</v>
      </c>
      <c r="X54" s="35">
        <f t="shared" si="6"/>
        <v>7821100</v>
      </c>
      <c r="Y54" s="35">
        <f t="shared" si="6"/>
        <v>147419655</v>
      </c>
      <c r="Z54" s="35" t="s">
        <v>153</v>
      </c>
      <c r="AA54" s="36"/>
      <c r="AB54" s="37"/>
    </row>
    <row r="55" spans="1:28" s="40" customFormat="1" ht="28.5" customHeight="1">
      <c r="A55" s="66" t="s">
        <v>154</v>
      </c>
      <c r="B55" s="66"/>
      <c r="C55" s="66"/>
      <c r="D55" s="66"/>
      <c r="E55" s="66"/>
      <c r="F55" s="66"/>
      <c r="G55" s="66"/>
      <c r="H55" s="66"/>
      <c r="I55" s="66"/>
      <c r="J55" s="66"/>
      <c r="K55" s="66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 spans="1:28" s="40" customFormat="1" ht="28.5" customHeight="1">
      <c r="A56" s="66" t="s">
        <v>155</v>
      </c>
      <c r="B56" s="66"/>
      <c r="C56" s="66"/>
      <c r="D56" s="66"/>
      <c r="E56" s="66"/>
      <c r="F56" s="66"/>
      <c r="G56" s="66"/>
      <c r="H56" s="66"/>
      <c r="I56" s="66"/>
      <c r="J56" s="66"/>
      <c r="K56" s="66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>
        <f>+Y54</f>
        <v>147419655</v>
      </c>
      <c r="Z56" s="39"/>
    </row>
    <row r="57" spans="1:28" s="40" customFormat="1" ht="33.75" customHeight="1">
      <c r="A57" s="67" t="s">
        <v>156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  <c r="AA57" s="67"/>
    </row>
    <row r="58" spans="1:28" s="18" customFormat="1" ht="33.75" customHeight="1">
      <c r="A58" s="41" t="s">
        <v>157</v>
      </c>
      <c r="B58" s="41"/>
      <c r="C58" s="56" t="str" cm="1">
        <f t="array" ref="C58">+[3]!VND(Y54)</f>
        <v>Một trăm bốn mươi bảy triệu, bốn trăm mười chín ngàn, sáu trăm năm mươi lăm đồng chẵn</v>
      </c>
      <c r="D58" s="56"/>
      <c r="E58" s="56"/>
      <c r="F58" s="56"/>
      <c r="G58" s="56"/>
      <c r="H58" s="56"/>
      <c r="I58" s="56"/>
      <c r="J58" s="56"/>
      <c r="K58" s="42"/>
      <c r="L58" s="42"/>
      <c r="M58" s="42"/>
      <c r="N58" s="42"/>
      <c r="O58" s="42"/>
      <c r="P58" s="42" t="s">
        <v>158</v>
      </c>
      <c r="Q58" s="43"/>
      <c r="R58" s="43"/>
      <c r="S58" s="43"/>
      <c r="T58" s="43"/>
      <c r="U58" s="43"/>
      <c r="V58" s="43"/>
      <c r="W58" s="43"/>
      <c r="X58" s="43"/>
      <c r="Y58" s="43"/>
      <c r="Z58" s="43"/>
    </row>
    <row r="59" spans="1:28" s="40" customFormat="1" ht="33.75" customHeight="1">
      <c r="A59" s="18"/>
      <c r="B59" s="57" t="s">
        <v>159</v>
      </c>
      <c r="C59" s="57"/>
      <c r="D59" s="18"/>
      <c r="E59" s="18"/>
      <c r="F59" s="18"/>
      <c r="G59" s="18"/>
      <c r="H59" s="58" t="s">
        <v>160</v>
      </c>
      <c r="I59" s="58"/>
      <c r="J59" s="58"/>
      <c r="K59" s="58"/>
      <c r="L59" s="58"/>
      <c r="M59" s="58"/>
      <c r="N59" s="59"/>
      <c r="O59" s="59"/>
      <c r="P59" s="59"/>
      <c r="Q59" s="59"/>
      <c r="R59" s="18"/>
      <c r="S59" s="43"/>
      <c r="T59" s="59" t="s">
        <v>161</v>
      </c>
      <c r="U59" s="59"/>
      <c r="V59" s="59"/>
      <c r="W59" s="59"/>
      <c r="X59" s="59"/>
      <c r="Y59" s="59"/>
      <c r="Z59" s="59"/>
      <c r="AA59" s="59"/>
    </row>
    <row r="60" spans="1:28" s="49" customFormat="1" ht="20.25" customHeight="1">
      <c r="A60" s="44"/>
      <c r="B60" s="60" t="s">
        <v>162</v>
      </c>
      <c r="C60" s="60"/>
      <c r="D60" s="45"/>
      <c r="E60" s="45"/>
      <c r="F60" s="45"/>
      <c r="G60" s="45"/>
      <c r="H60" s="61" t="s">
        <v>163</v>
      </c>
      <c r="I60" s="61"/>
      <c r="J60" s="61"/>
      <c r="K60" s="61"/>
      <c r="L60" s="61"/>
      <c r="M60" s="46"/>
      <c r="N60" s="47"/>
      <c r="O60" s="47"/>
      <c r="P60" s="47"/>
      <c r="Q60" s="44"/>
      <c r="R60" s="48"/>
      <c r="S60" s="48"/>
      <c r="V60" s="48"/>
      <c r="W60" s="48"/>
      <c r="X60" s="62" t="s">
        <v>164</v>
      </c>
      <c r="Y60" s="62"/>
      <c r="Z60" s="62"/>
      <c r="AA60" s="48"/>
    </row>
    <row r="61" spans="1:28" s="18" customFormat="1" ht="20.25" customHeight="1">
      <c r="A61" s="40"/>
      <c r="B61" s="55"/>
      <c r="C61" s="55"/>
      <c r="D61" s="50"/>
      <c r="E61" s="50"/>
      <c r="F61" s="50"/>
      <c r="G61" s="50"/>
      <c r="H61" s="51"/>
      <c r="I61" s="51"/>
      <c r="J61" s="51"/>
      <c r="K61" s="51"/>
      <c r="L61" s="51"/>
      <c r="M61" s="51"/>
      <c r="N61" s="52"/>
      <c r="O61" s="52"/>
      <c r="P61" s="52"/>
      <c r="Q61" s="40"/>
      <c r="R61" s="53"/>
      <c r="S61" s="53"/>
      <c r="V61" s="53"/>
      <c r="W61" s="53"/>
      <c r="X61" s="53"/>
      <c r="Y61" s="53"/>
      <c r="Z61" s="53"/>
      <c r="AA61" s="53"/>
    </row>
    <row r="62" spans="1:28" ht="12.75" customHeight="1"/>
  </sheetData>
  <autoFilter ref="A11:AB60" xr:uid="{C19F5DD9-0DED-4FEC-BAF7-22628787059D}"/>
  <mergeCells count="22">
    <mergeCell ref="A6:Z6"/>
    <mergeCell ref="A1:K1"/>
    <mergeCell ref="A2:Z2"/>
    <mergeCell ref="A3:K3"/>
    <mergeCell ref="A4:Z4"/>
    <mergeCell ref="A5:Z5"/>
    <mergeCell ref="T59:AA59"/>
    <mergeCell ref="B60:C60"/>
    <mergeCell ref="H60:L60"/>
    <mergeCell ref="X60:Z60"/>
    <mergeCell ref="A7:Z7"/>
    <mergeCell ref="A9:B9"/>
    <mergeCell ref="A54:K54"/>
    <mergeCell ref="A55:K55"/>
    <mergeCell ref="A56:K56"/>
    <mergeCell ref="A57:AA57"/>
    <mergeCell ref="C9:L9"/>
    <mergeCell ref="B61:C61"/>
    <mergeCell ref="C58:J58"/>
    <mergeCell ref="B59:C59"/>
    <mergeCell ref="H59:M59"/>
    <mergeCell ref="N59:Q59"/>
  </mergeCells>
  <conditionalFormatting sqref="C61:D61 C57:D58">
    <cfRule type="duplicateValues" dxfId="10" priority="6"/>
    <cfRule type="duplicateValues" dxfId="9" priority="7"/>
  </conditionalFormatting>
  <conditionalFormatting sqref="C59:D60">
    <cfRule type="duplicateValues" dxfId="8" priority="4"/>
    <cfRule type="duplicateValues" dxfId="7" priority="5"/>
  </conditionalFormatting>
  <conditionalFormatting sqref="H12:H35">
    <cfRule type="cellIs" dxfId="6" priority="8" stopIfTrue="1" operator="equal">
      <formula>#REF!</formula>
    </cfRule>
  </conditionalFormatting>
  <conditionalFormatting sqref="H43:H53">
    <cfRule type="cellIs" dxfId="5" priority="3" stopIfTrue="1" operator="equal">
      <formula>#REF!</formula>
    </cfRule>
  </conditionalFormatting>
  <conditionalFormatting sqref="H36:H42">
    <cfRule type="cellIs" dxfId="4" priority="1" stopIfTrue="1" operator="equal">
      <formula>#REF!</formula>
    </cfRule>
  </conditionalFormatting>
  <conditionalFormatting sqref="C36:C42">
    <cfRule type="duplicateValues" dxfId="3" priority="2"/>
  </conditionalFormatting>
  <conditionalFormatting sqref="C12:C35">
    <cfRule type="duplicateValues" dxfId="2" priority="9"/>
  </conditionalFormatting>
  <conditionalFormatting sqref="C43:C53">
    <cfRule type="duplicateValues" dxfId="1" priority="10"/>
  </conditionalFormatting>
  <conditionalFormatting sqref="E12:E53">
    <cfRule type="duplicateValues" dxfId="0" priority="11"/>
  </conditionalFormatting>
  <pageMargins left="0.31496062992125984" right="0.15748031496062992" top="0.23622047244094491" bottom="0.27559055118110237" header="0.23622047244094491" footer="0.31496062992125984"/>
  <pageSetup paperSize="9" scale="49" orientation="landscape" r:id="rId1"/>
  <rowBreaks count="1" manualBreakCount="1">
    <brk id="30" max="2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COVATEC </vt:lpstr>
      <vt:lpstr>'COVATEC '!Print_Area</vt:lpstr>
      <vt:lpstr>'COVATEC 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2026-06-24T03:07:49Z</dcterms:created>
  <dcterms:modified xsi:type="dcterms:W3CDTF">2026-06-30T07:55:20Z</dcterms:modified>
</cp:coreProperties>
</file>